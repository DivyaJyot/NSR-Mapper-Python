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D:\userdata\vikhanna\My Documents\Vikas\Work\Migration\code\nsr-mapper-svn\27-6\tool\templates\"/>
    </mc:Choice>
  </mc:AlternateContent>
  <bookViews>
    <workbookView xWindow="0" yWindow="0" windowWidth="19200" windowHeight="7095" firstSheet="1" activeTab="1"/>
  </bookViews>
  <sheets>
    <sheet name="General Info" sheetId="1" r:id="rId1"/>
    <sheet name="Contents" sheetId="2" r:id="rId2"/>
    <sheet name="QualityOfServiceProfile-Map" sheetId="175" state="hidden" r:id="rId3"/>
    <sheet name="LogErrors" sheetId="170" r:id="rId4"/>
    <sheet name="PDPContext-Map" sheetId="179" state="hidden" r:id="rId5"/>
    <sheet name="UgCsi-Map" sheetId="176" state="hidden" r:id="rId6"/>
    <sheet name="BearerCapabilitySet-Map" sheetId="171" state="hidden" r:id="rId7"/>
    <sheet name="TCsi-Map" sheetId="172" state="hidden" r:id="rId8"/>
    <sheet name="refValues" sheetId="167" state="hidden" r:id="rId9"/>
    <sheet name="BearerCapabilitySet" sheetId="113" state="hidden" r:id="rId10"/>
    <sheet name="DCsi" sheetId="114" state="hidden" r:id="rId11"/>
    <sheet name="GprsCsi" sheetId="115" state="hidden" r:id="rId12"/>
    <sheet name="LocationServicesProfile" sheetId="116" state="hidden" r:id="rId13"/>
    <sheet name="MCsi" sheetId="117" state="hidden" r:id="rId14"/>
    <sheet name="MgCsi" sheetId="118" state="hidden" r:id="rId15"/>
    <sheet name="MtSmsCsi" sheetId="119" state="hidden" r:id="rId16"/>
    <sheet name="MultipleSubscriberProfiles" sheetId="120" state="hidden" r:id="rId17"/>
    <sheet name="OCsi" sheetId="121" state="hidden" r:id="rId18"/>
    <sheet name="OCsi-Map" sheetId="174" state="hidden" r:id="rId19"/>
    <sheet name="ProhibitedForwardedToNumbers" sheetId="122" state="hidden" r:id="rId20"/>
    <sheet name="QualityOfServiceProfile" sheetId="123" state="hidden" r:id="rId21"/>
    <sheet name="RoamingArea" sheetId="124" state="hidden" r:id="rId22"/>
    <sheet name="RoamingArea-Map" sheetId="177" state="hidden" r:id="rId23"/>
    <sheet name="ShortCodeTranslation" sheetId="125" state="hidden" r:id="rId24"/>
    <sheet name="SmsCsi" sheetId="126" state="hidden" r:id="rId25"/>
    <sheet name="SmsCsi-Map" sheetId="178" state="hidden" r:id="rId26"/>
    <sheet name="SsCsi" sheetId="127" state="hidden" r:id="rId27"/>
    <sheet name="SubscriberRelatedRoutingData" sheetId="128" state="hidden" r:id="rId28"/>
    <sheet name="TCsi" sheetId="129" state="hidden" r:id="rId29"/>
    <sheet name="UCsi" sheetId="130" state="hidden" r:id="rId30"/>
    <sheet name="UCsiExt" sheetId="131" state="hidden" r:id="rId31"/>
    <sheet name="UgCsi" sheetId="132" state="hidden" r:id="rId32"/>
    <sheet name="UgCsiExt" sheetId="133" state="hidden" r:id="rId33"/>
    <sheet name="VoiceMailSystem" sheetId="134" state="hidden" r:id="rId34"/>
    <sheet name="VtCsi" sheetId="135" state="hidden" r:id="rId35"/>
    <sheet name="ExtOICK" sheetId="136" state="hidden" r:id="rId36"/>
    <sheet name="ExtOINCI" sheetId="137" state="hidden" r:id="rId37"/>
    <sheet name="ExtTICK" sheetId="138" state="hidden" r:id="rId38"/>
    <sheet name="ExtTINCI" sheetId="139" state="hidden" r:id="rId39"/>
    <sheet name="INSMS" sheetId="140" state="hidden" r:id="rId40"/>
    <sheet name="OICK" sheetId="141" state="hidden" r:id="rId41"/>
    <sheet name="TICK" sheetId="142" state="hidden" r:id="rId42"/>
    <sheet name="UssdAdvt" sheetId="144" state="hidden" r:id="rId43"/>
    <sheet name="RoamSubscriptionInfo" sheetId="145" state="hidden" r:id="rId44"/>
    <sheet name="RoamPlan" sheetId="146" state="hidden" r:id="rId45"/>
    <sheet name="BSPlan" sheetId="147" state="hidden" r:id="rId46"/>
    <sheet name="SSPlan" sheetId="148" state="hidden" r:id="rId47"/>
    <sheet name="ODBPlan" sheetId="149" state="hidden" r:id="rId48"/>
    <sheet name="CSIPlan" sheetId="150" state="hidden" r:id="rId49"/>
    <sheet name="GMLC" sheetId="151" state="hidden" r:id="rId50"/>
    <sheet name="AddressList" sheetId="168" state="hidden" r:id="rId51"/>
    <sheet name="EMOICKProfile" sheetId="153" state="hidden" r:id="rId52"/>
    <sheet name="NbrRule" sheetId="154" state="hidden" r:id="rId53"/>
    <sheet name="NbrRuleSet" sheetId="155" state="hidden" r:id="rId54"/>
    <sheet name="NbrTranslation" sheetId="156" state="hidden" r:id="rId55"/>
    <sheet name="SmsPriorityList" sheetId="157" state="hidden" r:id="rId56"/>
    <sheet name="SSetProfile" sheetId="158" state="hidden" r:id="rId57"/>
    <sheet name="CSITreatment" sheetId="159" state="hidden" r:id="rId58"/>
    <sheet name="CategoryTreatment" sheetId="160" state="hidden" r:id="rId59"/>
    <sheet name="PSTreatment" sheetId="161" state="hidden" r:id="rId60"/>
    <sheet name="ServicePlan" sheetId="162" state="hidden" r:id="rId61"/>
    <sheet name="PDPContext" sheetId="169" state="hidden" r:id="rId62"/>
    <sheet name="FraudProfile" sheetId="163" state="hidden" r:id="rId63"/>
    <sheet name="FraudObservation" sheetId="164" state="hidden" r:id="rId64"/>
    <sheet name="FTNOData" sheetId="165" state="hidden" r:id="rId65"/>
    <sheet name="FTNOProfile" sheetId="166" state="hidden" r:id="rId66"/>
  </sheets>
  <functionGroups builtInGroupCount="18">
    <functionGroup name="EPMXLL"/>
    <functionGroup name="EVFunctions (Deprecated)"/>
    <functionGroup name="EPMFunctions"/>
    <functionGroup name="Network Planning Add-In"/>
    <functionGroup name="Steam Calculator"/>
    <functionGroup name="think-cell"/>
    <functionGroup name="GPRS Radio Network Planning"/>
    <functionGroup name="EDGE Radio Network Planning"/>
    <functionGroup name="GPRS Core Network Planning"/>
    <functionGroup name="EDGE Core Network Planning"/>
    <functionGroup name="Matrix"/>
    <functionGroup name="TA-Lib [Math Transform]"/>
    <functionGroup name="TA-Lib [Volume Indicators]"/>
    <functionGroup name="TA-Lib [Math Operators]"/>
    <functionGroup name="TA-Lib [Momentum Indicators]"/>
    <functionGroup name="TA-Lib [Volatility Indicators]"/>
    <functionGroup name="TA-Lib [Price Transform]"/>
    <functionGroup name="TA-Lib [Overlap Studies]"/>
    <functionGroup name="TA-Lib [Statistic Functions]"/>
    <functionGroup name="TA-Lib [Pattern Recognition]"/>
    <functionGroup name="TA-Lib [Cycle Indicators]"/>
    <functionGroup name="TA-LIB [Utilities]"/>
    <functionGroup name="All"/>
    <functionGroup name="大智慧证券函数"/>
    <functionGroup name="Morefunc"/>
    <functionGroup name="IP Tools for Excel"/>
    <functionGroup name="IP Tools For Excel Sheet Functio"/>
    <functionGroup name="ASAP Utilities"/>
    <functionGroup name="Regular Expressions"/>
  </functionGroups>
  <definedNames>
    <definedName name="_xlnm._FilterDatabase" localSheetId="1" hidden="1">Contents!$B$3:$F$20</definedName>
    <definedName name="_xlnm._FilterDatabase" localSheetId="17" hidden="1">OCsi!$A$1:$A$10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22" l="1"/>
  <c r="L5" i="135" l="1"/>
  <c r="K5" i="135"/>
  <c r="B7" i="122" l="1"/>
  <c r="R5" i="121" l="1"/>
  <c r="S5" i="121"/>
</calcChain>
</file>

<file path=xl/comments1.xml><?xml version="1.0" encoding="utf-8"?>
<comments xmlns="http://schemas.openxmlformats.org/spreadsheetml/2006/main">
  <authors>
    <author>Jain, Vivek 1. (EXT - IN/Noida)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Folder containing Subscriber Files (XML) or Subscriber Dump (CSV).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Folder containing Subscriber Files (XML) or Subscriber Dump (CSV).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Folder containing Subscriber Files (XML) or Subscriber Dump (CSV).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</commentList>
</comments>
</file>

<file path=xl/comments2.xml><?xml version="1.0" encoding="utf-8"?>
<comments xmlns="http://schemas.openxmlformats.org/spreadsheetml/2006/main">
  <authors>
    <author>Verma, Shalini 1. (Nokia - IN/Noida)</author>
    <author>Khanna, Vikas 1. (EXT - IN/Noida)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Value range: 0..255</t>
        </r>
      </text>
    </comment>
    <comment ref="A16" authorId="1" shapeId="0">
      <text>
        <r>
          <rPr>
            <b/>
            <sz val="9"/>
            <color indexed="81"/>
            <rFont val="Tahoma"/>
            <family val="2"/>
          </rPr>
          <t>Khanna, Vikas 1. (EXT - IN/Noida):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6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10 bytes to 1500 bytes with a granularity of 10 bytes. 
One of the following values: -
 h'01 to h'96 
10 to 1500 bytes - h'97 1502 bytes (for PPP PDP type) - h'98 1510 bytes - h'99 1520 bytes</t>
        </r>
      </text>
    </comment>
    <comment ref="C61" authorId="1" shapeId="0">
      <text>
        <r>
          <rPr>
            <b/>
            <sz val="9"/>
            <color indexed="81"/>
            <rFont val="Tahoma"/>
            <family val="2"/>
          </rPr>
          <t>Khanna, Vikas 1. (EXT - IN/Noida):</t>
        </r>
        <r>
          <rPr>
            <sz val="9"/>
            <color indexed="81"/>
            <rFont val="Tahoma"/>
            <family val="2"/>
          </rPr>
          <t xml:space="preserve">
BER1
BER2
BER3
BER4
BER5
BER6
BER7</t>
        </r>
      </text>
    </comment>
    <comment ref="C70" authorId="1" shapeId="0">
      <text>
        <r>
          <rPr>
            <b/>
            <sz val="9"/>
            <color indexed="81"/>
            <rFont val="Tahoma"/>
            <family val="2"/>
          </rPr>
          <t>Khanna, Vikas 1. (EXT - IN/Noida):</t>
        </r>
        <r>
          <rPr>
            <sz val="9"/>
            <color indexed="81"/>
            <rFont val="Tahoma"/>
            <family val="2"/>
          </rPr>
          <t xml:space="preserve">
SER1
SER2
SER3
SER4
SER5
SER6</t>
        </r>
      </text>
    </comment>
  </commentList>
</comments>
</file>

<file path=xl/comments3.xml><?xml version="1.0" encoding="utf-8"?>
<comments xmlns="http://schemas.openxmlformats.org/spreadsheetml/2006/main">
  <authors>
    <author>Verma, Shalini 1. (Nokia - IN/Noida)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Value range: 0..255</t>
        </r>
      </text>
    </comment>
  </commentList>
</comments>
</file>

<file path=xl/comments4.xml><?xml version="1.0" encoding="utf-8"?>
<comments xmlns="http://schemas.openxmlformats.org/spreadsheetml/2006/main">
  <authors>
    <author>Verma, Shalini 1. (Nokia - IN/Noida)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10 bytes to 1500 bytes with a granularity of 10 bytes. 
One of the following values: -
 h'01 to h'96 
10 to 1500 bytes - h'97 1502 bytes (for PPP PDP type) - h'98 1510 bytes - h'99 1520 bytes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F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attribute only accepts a single value entry.
1..15 digits in E.164 format.
</t>
        </r>
      </text>
    </comment>
    <comment ref="F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attribute only accepts a single value entry.
1..15 digits in E.164 format.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Range 0..2147483647 of decimal numbers
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Mapping for identifier to be done using unique identifier string.
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attribute only accepts a single value entry.
1..15 digits in E.164 format.
</t>
        </r>
      </text>
    </comment>
    <comment ref="F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attribute only accepts a single value entry.
1..15 digits in E.164 format.
</t>
        </r>
      </text>
    </comment>
    <comment ref="F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Range 0..2147483647 of decimal numbers
</t>
        </r>
      </text>
    </comment>
  </commentList>
</comments>
</file>

<file path=xl/comments7.xml><?xml version="1.0" encoding="utf-8"?>
<comments xmlns="http://schemas.openxmlformats.org/spreadsheetml/2006/main">
  <authors>
    <author>Verma, Shalini 1. (Nokia - IN/Noida)</author>
    <author>Khanna, Vikas 1. (EXT - IN/Noida)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Value range: 0..255</t>
        </r>
      </text>
    </comment>
    <comment ref="A17" authorId="1" shapeId="0">
      <text>
        <r>
          <rPr>
            <b/>
            <sz val="9"/>
            <color indexed="81"/>
            <rFont val="Tahoma"/>
            <family val="2"/>
          </rPr>
          <t>Khanna, Vikas 1. (EXT - IN/Noida):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7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10 bytes to 1500 bytes with a granularity of 10 bytes. 
One of the following values: -
 h'01 to h'96 
10 to 1500 bytes - h'97 1502 bytes (for PPP PDP type) - h'98 1510 bytes - h'99 1520 bytes</t>
        </r>
      </text>
    </comment>
    <comment ref="C62" authorId="1" shapeId="0">
      <text>
        <r>
          <rPr>
            <b/>
            <sz val="9"/>
            <color indexed="81"/>
            <rFont val="Tahoma"/>
            <family val="2"/>
          </rPr>
          <t>Khanna, Vikas 1. (EXT - IN/Noida):</t>
        </r>
        <r>
          <rPr>
            <sz val="9"/>
            <color indexed="81"/>
            <rFont val="Tahoma"/>
            <family val="2"/>
          </rPr>
          <t xml:space="preserve">
BER1
BER2
BER3
BER4
BER5
BER6
BER7</t>
        </r>
      </text>
    </comment>
    <comment ref="C71" authorId="1" shapeId="0">
      <text>
        <r>
          <rPr>
            <b/>
            <sz val="9"/>
            <color indexed="81"/>
            <rFont val="Tahoma"/>
            <family val="2"/>
          </rPr>
          <t>Khanna, Vikas 1. (EXT - IN/Noida):</t>
        </r>
        <r>
          <rPr>
            <sz val="9"/>
            <color indexed="81"/>
            <rFont val="Tahoma"/>
            <family val="2"/>
          </rPr>
          <t xml:space="preserve">
SER1
SER2
SER3
SER4
SER5
SER6</t>
        </r>
      </text>
    </comment>
  </commentList>
</comments>
</file>

<file path=xl/comments8.xml><?xml version="1.0" encoding="utf-8"?>
<comments xmlns="http://schemas.openxmlformats.org/spreadsheetml/2006/main">
  <authors>
    <author>Verma, Shalini 1. (Nokia - IN/Noida)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Value range: 0..255</t>
        </r>
      </text>
    </comment>
  </commentList>
</comments>
</file>

<file path=xl/sharedStrings.xml><?xml version="1.0" encoding="utf-8"?>
<sst xmlns="http://schemas.openxmlformats.org/spreadsheetml/2006/main" count="2983" uniqueCount="1364">
  <si>
    <t>PREPARED BY:</t>
  </si>
  <si>
    <t>Date:</t>
  </si>
  <si>
    <t>HLR FE Version:</t>
  </si>
  <si>
    <t>History of Customer Requirement Template Document</t>
  </si>
  <si>
    <t>Version</t>
  </si>
  <si>
    <t>Author</t>
  </si>
  <si>
    <t>Date</t>
  </si>
  <si>
    <t>Summary of Changes</t>
  </si>
  <si>
    <t>Customer.:</t>
  </si>
  <si>
    <t>Contents</t>
  </si>
  <si>
    <t>Used</t>
  </si>
  <si>
    <t>Comments</t>
  </si>
  <si>
    <t>BearerCapabilitySet</t>
  </si>
  <si>
    <t>This object contains bearer capability information elements. The bearer capability elements are defined in GSM 09.07. The GSM BCIE is defined as octet string for MOC and MTC.</t>
  </si>
  <si>
    <t>bearerCapabilitySet</t>
  </si>
  <si>
    <t>UgCsiExt</t>
  </si>
  <si>
    <t>General Unstructured CAMEL Subscription Information Extension</t>
  </si>
  <si>
    <t>OCsi</t>
  </si>
  <si>
    <t>Originating Call CAMEL Subscription Information</t>
  </si>
  <si>
    <t>TCsi</t>
  </si>
  <si>
    <t>Terminating Call CAMEL Subscription Information</t>
  </si>
  <si>
    <t>SsCsi</t>
  </si>
  <si>
    <t>Supplementary Services CAMEL Subscription Information</t>
  </si>
  <si>
    <t>QualityOfServiceProfile</t>
  </si>
  <si>
    <t>HLRSmsPriorityList</t>
  </si>
  <si>
    <t>SMS Priority list for SMS framework</t>
  </si>
  <si>
    <t>HLRNbrRule</t>
  </si>
  <si>
    <t>HLRNbrRuleSet</t>
  </si>
  <si>
    <t>Defines the set of rules to be used for number processing.</t>
  </si>
  <si>
    <t>HLRNbrTranslation</t>
  </si>
  <si>
    <t>UgCsi</t>
  </si>
  <si>
    <t>Originating IN Category Key</t>
  </si>
  <si>
    <t>Terminating IN Category Key</t>
  </si>
  <si>
    <t>INSMS</t>
  </si>
  <si>
    <t>HLRSSetProfile</t>
  </si>
  <si>
    <t>HLRCategoryTreatment</t>
  </si>
  <si>
    <t>HLRPSTreatment</t>
  </si>
  <si>
    <t>HLRServicePlan</t>
  </si>
  <si>
    <t>HLRFTNOData</t>
  </si>
  <si>
    <t>HLRFTNOProfile</t>
  </si>
  <si>
    <t>GprsCsi</t>
  </si>
  <si>
    <t>GRPS CAMEL Subscription Information</t>
  </si>
  <si>
    <t>LocationServicesProfile</t>
  </si>
  <si>
    <t>Mobility Management CAMEL Subscription Information</t>
  </si>
  <si>
    <t>MgCsi</t>
  </si>
  <si>
    <t>Mobility Management GPRS CAMEL Subscription Information</t>
  </si>
  <si>
    <t>MtSmsCsi</t>
  </si>
  <si>
    <t>Mobile Terminating SMS CAMEL Subscription Information</t>
  </si>
  <si>
    <t>MultipleSubscriberProfiles</t>
  </si>
  <si>
    <t>Multiple profiles can be provisioned for a mobile subscriber. This will allow the subscriber to separate telecommunication service needs into different identities (for example, business, and home).</t>
  </si>
  <si>
    <t>ProhibitedForwardedToNumbers</t>
  </si>
  <si>
    <t>This class organizes all prohibited FTNO numbers of the HLR for optimized checking whether a forwarding number is allowed. Object of this class can contain prohibited forwarded to number or range.</t>
  </si>
  <si>
    <t>This object contains quality of service attributes which determine the degree of satisfaction of a user of the service. It is a set of performance parameters that can be directly observed and measured at the point at which the service is accessed by the user.</t>
  </si>
  <si>
    <t>RoamingArea</t>
  </si>
  <si>
    <t>This object is used to specify ROAMING AREAs in which a mobile subscriber is allowed to roam or not. It also contains a set of ISDNNumbers.</t>
  </si>
  <si>
    <t>ShortCodeTranslation</t>
  </si>
  <si>
    <t>SmsCsi</t>
  </si>
  <si>
    <t>SMS CAMEL Subscription Information</t>
  </si>
  <si>
    <t>SubscriberRelatedRoutingData</t>
  </si>
  <si>
    <t>Unstructured CAMEL Subscription Information. This information is used by the HLR to transfer USSD messages towards a GSM service control function.</t>
  </si>
  <si>
    <t>Unstructured CAMEL Subscription Information Extension. This information is used by the HLR to transfer USSD messages towards a GSM service control function.</t>
  </si>
  <si>
    <t>General Unstructured CAMEL Subscription Information</t>
  </si>
  <si>
    <t>VoiceMailSystem</t>
  </si>
  <si>
    <t>Voice Mail System maps a VMS short code to real VMS number. This class is allowed for the callback supplementary service and the basic service group speech only.</t>
  </si>
  <si>
    <t>VtCsi</t>
  </si>
  <si>
    <t>Visited mobile service switching centre Terminating CAMEL Subscription Information</t>
  </si>
  <si>
    <t>ExtOICK</t>
  </si>
  <si>
    <t>Extended Camel Originating IN Category Key data</t>
  </si>
  <si>
    <t>ExtOINCI</t>
  </si>
  <si>
    <t>Extended Camel Originating IN Capability Indicator data</t>
  </si>
  <si>
    <t>ExtTICK</t>
  </si>
  <si>
    <t>Extended Camel Terminating IN Category Key data</t>
  </si>
  <si>
    <t>ExtTINCI</t>
  </si>
  <si>
    <t>Extended Camel Termination IN Capability Indicator data</t>
  </si>
  <si>
    <t>IN Short Message Service Information</t>
  </si>
  <si>
    <t>OICK</t>
  </si>
  <si>
    <t>TICK</t>
  </si>
  <si>
    <t>This is USSD Advertisement profile. It is used for USSD services VLRID, OwnMsisdn, ActualTime and LCN.</t>
  </si>
  <si>
    <t>RoamSubscriptionInfo</t>
  </si>
  <si>
    <t>This is introduced as a part of Roaming Dependent subscriber profile.</t>
  </si>
  <si>
    <t>RoamPlan</t>
  </si>
  <si>
    <t>This is introduced as a part of Roaming Dependent subscriber profile. It contains the Roaming Plan for a subscriber.</t>
  </si>
  <si>
    <t>BSPlan</t>
  </si>
  <si>
    <t>This object class defines the Basic Service related treatments for a roaming dependent subscriber.</t>
  </si>
  <si>
    <t>SSPlan</t>
  </si>
  <si>
    <t>This object class defines the Supplementary Service related treatments.</t>
  </si>
  <si>
    <t>ODBPlan</t>
  </si>
  <si>
    <t>This object class defines the Operator Determined Barring related treatments.</t>
  </si>
  <si>
    <t>CSIPlan</t>
  </si>
  <si>
    <t>This object class defines the CAMEL related treatments and the replacement profiles.</t>
  </si>
  <si>
    <t>GMLC</t>
  </si>
  <si>
    <t>This object class defines the GMLC data which serves as NSR data for Spatial Trigger</t>
  </si>
  <si>
    <t>This type holds a named set of addresses which could be used for multiple purposes.
Currently used by LSG for SMS Features</t>
  </si>
  <si>
    <t>Executive Mobile Operator Intelligent Network Category Key (EMO-ICK) Information.</t>
  </si>
  <si>
    <t>This is introduced as a part of Flexible FTNO Number translation framework. It defines the rule for translating a number.</t>
  </si>
  <si>
    <t>Currently HLRNbrTranslation is used for flexibly transforming FTNOs according to specific rule sets.</t>
  </si>
  <si>
    <t>Service Set Index Information for HLR.</t>
  </si>
  <si>
    <t>This object class defines set of extended CAMEL related treatments.</t>
  </si>
  <si>
    <t>DCsi</t>
  </si>
  <si>
    <t>MCsi</t>
  </si>
  <si>
    <t>UCsi</t>
  </si>
  <si>
    <t>UssdAdvt</t>
  </si>
  <si>
    <t>HLRFraudProfile</t>
  </si>
  <si>
    <t>UCsiExt</t>
  </si>
  <si>
    <t>Object Name</t>
  </si>
  <si>
    <t>Parameter Name</t>
  </si>
  <si>
    <t>Bearer Capability Set Name</t>
  </si>
  <si>
    <t>Radio Channel Requirements</t>
  </si>
  <si>
    <t>Transfer Mode</t>
  </si>
  <si>
    <t>Information Transfer Capability</t>
  </si>
  <si>
    <t>Structure</t>
  </si>
  <si>
    <t>Rate Adaption</t>
  </si>
  <si>
    <t>Signaling Access Protocol</t>
  </si>
  <si>
    <t>User Info Layer 2 Protocol</t>
  </si>
  <si>
    <t>Synchronous Mode</t>
  </si>
  <si>
    <t>Number Of Data Bits</t>
  </si>
  <si>
    <t>Number Of Stop Bits</t>
  </si>
  <si>
    <t>User Rate</t>
  </si>
  <si>
    <t>Intermediate Rate</t>
  </si>
  <si>
    <t>Accepts Network Independent Clock</t>
  </si>
  <si>
    <t>Requires Network Independent Clock</t>
  </si>
  <si>
    <t>Parity Info</t>
  </si>
  <si>
    <t>Connection Element</t>
  </si>
  <si>
    <t>Modem Type</t>
  </si>
  <si>
    <t>Fix Network User Rate</t>
  </si>
  <si>
    <t>SPML Attribute</t>
  </si>
  <si>
    <t>identifier</t>
  </si>
  <si>
    <t>radioChannelRequirements</t>
  </si>
  <si>
    <t>transferMode</t>
  </si>
  <si>
    <t>informationTransferCapability</t>
  </si>
  <si>
    <t>structure</t>
  </si>
  <si>
    <t>rateAdaption</t>
  </si>
  <si>
    <t>signalingAccessProtocol</t>
  </si>
  <si>
    <t>userInfoLayer2Protocol</t>
  </si>
  <si>
    <t>synchronousMode</t>
  </si>
  <si>
    <t>numberOfDataBits</t>
  </si>
  <si>
    <t>numberOfStopBits</t>
  </si>
  <si>
    <t>userRate</t>
  </si>
  <si>
    <t>intermediateRate</t>
  </si>
  <si>
    <t>acceptsNetworkIndependentClock</t>
  </si>
  <si>
    <t>requiresNetworkIndependentClock</t>
  </si>
  <si>
    <t>parityInfo</t>
  </si>
  <si>
    <t>connectionElement</t>
  </si>
  <si>
    <t>modemType</t>
  </si>
  <si>
    <t>fixNetworkUserRate</t>
  </si>
  <si>
    <t>ADD</t>
  </si>
  <si>
    <t>optimalRouting</t>
  </si>
  <si>
    <t>Service name</t>
  </si>
  <si>
    <t>Service Availability</t>
  </si>
  <si>
    <t>Sending Options</t>
  </si>
  <si>
    <t>Aceptable Values</t>
  </si>
  <si>
    <t>Replacement Handling For Location Update</t>
  </si>
  <si>
    <t>Supported CAMEL Phase</t>
  </si>
  <si>
    <t>Replacement Handling For Interrogation</t>
  </si>
  <si>
    <t>Optimal Routing</t>
  </si>
  <si>
    <t>roamingRestrictions
noReplacement
barringOfOutgoingCalls</t>
  </si>
  <si>
    <t>ReplacementHandlingForInterrogation</t>
  </si>
  <si>
    <t>reservedOption4</t>
  </si>
  <si>
    <t>reservedOption5</t>
  </si>
  <si>
    <t>reservedOption6</t>
  </si>
  <si>
    <t>reservedOption7</t>
  </si>
  <si>
    <t>reservedOption8</t>
  </si>
  <si>
    <t>reservedOption9</t>
  </si>
  <si>
    <t>reservedOption10</t>
  </si>
  <si>
    <t>barringOfPremiumRateCallsOutsideHplmn</t>
  </si>
  <si>
    <t>barringOfPremiumRateCallsInsideHplmn</t>
  </si>
  <si>
    <t>reservedOption1</t>
  </si>
  <si>
    <t>reservedOption2</t>
  </si>
  <si>
    <t>reservedOption3</t>
  </si>
  <si>
    <t>notificationOfSubscriberDataChange</t>
  </si>
  <si>
    <t>availability</t>
  </si>
  <si>
    <t>String:
1..10 characters</t>
  </si>
  <si>
    <t>gprsCsi</t>
  </si>
  <si>
    <t>Service Name</t>
  </si>
  <si>
    <t>Replacement Handling</t>
  </si>
  <si>
    <t>Supported Camel Phase</t>
  </si>
  <si>
    <t>supportedCamelPhase</t>
  </si>
  <si>
    <t>Trigger Detection Point</t>
  </si>
  <si>
    <t>Service Key</t>
  </si>
  <si>
    <t>Availability</t>
  </si>
  <si>
    <t>Replacement Handling ForInterrogation</t>
  </si>
  <si>
    <t>Default call handling</t>
  </si>
  <si>
    <t>triggerDetectionPoint</t>
  </si>
  <si>
    <t>gsmServiceControlFunction</t>
  </si>
  <si>
    <t>serviceKey</t>
  </si>
  <si>
    <t>releaseCall</t>
  </si>
  <si>
    <t>Roaming Area Name</t>
  </si>
  <si>
    <t>Is Allowed</t>
  </si>
  <si>
    <t>ISDN Number</t>
  </si>
  <si>
    <t>Profile Name</t>
  </si>
  <si>
    <t>Precedence Class</t>
  </si>
  <si>
    <t>Delay Class</t>
  </si>
  <si>
    <t>Reliability Class</t>
  </si>
  <si>
    <t>Delivery Of Errorneous Data Unit</t>
  </si>
  <si>
    <t>Maximum Data Unit Size</t>
  </si>
  <si>
    <t>Maximum Bit Rate For Up Link</t>
  </si>
  <si>
    <t>Maximum Bit Rate For Down Link</t>
  </si>
  <si>
    <t>Guaranteed Bit Rate for Up Link</t>
  </si>
  <si>
    <t>Guaranteed Bit Rate for Down Link</t>
  </si>
  <si>
    <t>Residual Bit Error Rate</t>
  </si>
  <si>
    <t>Data Unit Error Ratio</t>
  </si>
  <si>
    <t>Transfer Delay</t>
  </si>
  <si>
    <t>Traffic Handling Priority</t>
  </si>
  <si>
    <t>Traffic Class</t>
  </si>
  <si>
    <t>precedenceClass</t>
  </si>
  <si>
    <t>delayClass</t>
  </si>
  <si>
    <t>meanThroughput</t>
  </si>
  <si>
    <t>reliabilityClass</t>
  </si>
  <si>
    <t>allocationRetentionPriority</t>
  </si>
  <si>
    <t>deliveryOrder</t>
  </si>
  <si>
    <t>deliveryOfErrorneousDataUnit</t>
  </si>
  <si>
    <t>sourceStatisticsDescriptor</t>
  </si>
  <si>
    <t>maximumDataUnitSize</t>
  </si>
  <si>
    <t>maximumBitRateForUpLink</t>
  </si>
  <si>
    <t>maximumBitRateForDownLink</t>
  </si>
  <si>
    <t>guaranteedBitRateForUpLink</t>
  </si>
  <si>
    <t>guaranteedBitRateForDownLink</t>
  </si>
  <si>
    <t>extendedGuaranteedBitRateForDownLink</t>
  </si>
  <si>
    <t>extendedMaximumBitRateForDownLink</t>
  </si>
  <si>
    <t>extendedMaximumBitRateForUpLink</t>
  </si>
  <si>
    <t>extendedGuaranteedBitRateForUpLink</t>
  </si>
  <si>
    <t>residualBitErrorRate</t>
  </si>
  <si>
    <t>dataUnitErrorRatio</t>
  </si>
  <si>
    <t>transferDelay</t>
  </si>
  <si>
    <t>trafficHandlingPriority</t>
  </si>
  <si>
    <t>trafficClass</t>
  </si>
  <si>
    <t>1Exp-4</t>
  </si>
  <si>
    <t>This attribute indicates whether the following matchValue attribute contains a regular expression with tokens or without tokens.</t>
  </si>
  <si>
    <t>matchType</t>
  </si>
  <si>
    <t>matchValue</t>
  </si>
  <si>
    <t>result</t>
  </si>
  <si>
    <t>modificationTarget</t>
  </si>
  <si>
    <t>modificationType</t>
  </si>
  <si>
    <t>charCount</t>
  </si>
  <si>
    <t>textString</t>
  </si>
  <si>
    <t>• 1: success
• 2: failure</t>
  </si>
  <si>
    <t>string</t>
  </si>
  <si>
    <t>finish</t>
  </si>
  <si>
    <t>success</t>
  </si>
  <si>
    <t>ID2ID5A8</t>
  </si>
  <si>
    <t>^9133654185405$</t>
  </si>
  <si>
    <t>ID2ID5A7</t>
  </si>
  <si>
    <t>^9133654185404$</t>
  </si>
  <si>
    <t>whole</t>
  </si>
  <si>
    <t>Maximum number of rules that are applied for an individual number translation using this Rule Set. This prevents infinite loops from occurring when multiple rules are applied.</t>
  </si>
  <si>
    <t>This attribute references to the first HLRNbrRule to apply for this RuleSet.</t>
  </si>
  <si>
    <t>maxRuleCount</t>
  </si>
  <si>
    <t>firstRuleId</t>
  </si>
  <si>
    <t>COMMON</t>
  </si>
  <si>
    <t>ID2</t>
  </si>
  <si>
    <t>ID5</t>
  </si>
  <si>
    <t>This attribute identifies the translationIndex.</t>
  </si>
  <si>
    <t>This attribute is used to attach an existing HLRNbrRuleSet object to HLRNbrTranslationInfo</t>
  </si>
  <si>
    <t>nbrTransIndex</t>
  </si>
  <si>
    <t>efRuleSetName</t>
  </si>
  <si>
    <t>MODIFY</t>
  </si>
  <si>
    <t>Priority of the Feature</t>
  </si>
  <si>
    <t>Holds the name of the sms feature.</t>
  </si>
  <si>
    <t>Reference to LSG (Load Sharing Group) AddressList NSR</t>
  </si>
  <si>
    <t>featurePriority</t>
  </si>
  <si>
    <t>ip_sm_gw</t>
  </si>
  <si>
    <t>Replacement Handling For Location Update if CAMEL service is not supported</t>
  </si>
  <si>
    <t>Optimal Routing is used or not.</t>
  </si>
  <si>
    <t>GSM service control function</t>
  </si>
  <si>
    <t>Service key</t>
  </si>
  <si>
    <t>replacementForLocationUpdate</t>
  </si>
  <si>
    <t>replacementForInterrogation</t>
  </si>
  <si>
    <t>enableTdpCriteriaDestinationMatchType</t>
  </si>
  <si>
    <t>forwardTdpCriteria</t>
  </si>
  <si>
    <t>allPlmn</t>
  </si>
  <si>
    <t>1,2,3</t>
  </si>
  <si>
    <t>replaceByBAIC</t>
  </si>
  <si>
    <t>noReplacement</t>
  </si>
  <si>
    <t>visitedPlmn</t>
  </si>
  <si>
    <t>roamingRestrictions</t>
  </si>
  <si>
    <t>GSM Service Control Function Address</t>
  </si>
  <si>
    <t>Peak throughput</t>
  </si>
  <si>
    <t>Mean Throughput [bit/s]</t>
  </si>
  <si>
    <t>Extended Maximum Bit Rate For Down Link (kbps)</t>
  </si>
  <si>
    <t>Extended Maximum Bit Rate For Up Link (kbps)</t>
  </si>
  <si>
    <t>Extended Guaranteed Bit Rate for Down Link (kbps)</t>
  </si>
  <si>
    <t>Extended Guaranteed Bit Rate for Up Link (kbps)</t>
  </si>
  <si>
    <t>Optimised For Signalling Traffic</t>
  </si>
  <si>
    <t>Source Statistics</t>
  </si>
  <si>
    <t>peakThrput</t>
  </si>
  <si>
    <t>optimisedForSignallingTraffic</t>
  </si>
  <si>
    <t>normal</t>
  </si>
  <si>
    <t>bestEffort</t>
  </si>
  <si>
    <t>notDelivered</t>
  </si>
  <si>
    <t>priority3</t>
  </si>
  <si>
    <t>notDetected</t>
  </si>
  <si>
    <t>Supplementary Service Code</t>
  </si>
  <si>
    <t>Replacement Handling for SS-CSI if CAMEL service is not supported.</t>
  </si>
  <si>
    <t>gsmServiceControlFunctionAddress</t>
  </si>
  <si>
    <t>supplementaryServiceCode</t>
  </si>
  <si>
    <t>TPD ID</t>
  </si>
  <si>
    <t>forceLocationRetrieval</t>
  </si>
  <si>
    <t>requireStatusRetrieval</t>
  </si>
  <si>
    <t>requireLocationRetrieval</t>
  </si>
  <si>
    <t>origRefIndicator</t>
  </si>
  <si>
    <t>destRefIndicator</t>
  </si>
  <si>
    <t>ussdSendingOptions</t>
  </si>
  <si>
    <t>uCsiExt</t>
  </si>
  <si>
    <t>Originating reference indicator type</t>
  </si>
  <si>
    <t>Destination reference indicator type</t>
  </si>
  <si>
    <t>Set of options that control the sending of parameters</t>
  </si>
  <si>
    <t>shortCode</t>
  </si>
  <si>
    <t>Lower Bound</t>
  </si>
  <si>
    <t>Upper Bound</t>
  </si>
  <si>
    <t>Group of subscribers</t>
  </si>
  <si>
    <t>Number Type</t>
  </si>
  <si>
    <t>4</t>
  </si>
  <si>
    <t>roamSubscriptionInfo</t>
  </si>
  <si>
    <t>Entity Number</t>
  </si>
  <si>
    <t>Roam Plan Routing</t>
  </si>
  <si>
    <t>Roam Plan Standard</t>
  </si>
  <si>
    <t>entityNumber</t>
  </si>
  <si>
    <t>roamPlan</t>
  </si>
  <si>
    <t>BS Plans</t>
  </si>
  <si>
    <t>SS Plans</t>
  </si>
  <si>
    <t>ODB Plans</t>
  </si>
  <si>
    <t>CSI Plans</t>
  </si>
  <si>
    <t>Access Restriction</t>
  </si>
  <si>
    <t>ARD Treatment</t>
  </si>
  <si>
    <t>Category Treatment</t>
  </si>
  <si>
    <t>Category</t>
  </si>
  <si>
    <t>Network Access Mode</t>
  </si>
  <si>
    <t>NAM Treatment</t>
  </si>
  <si>
    <t>Fwd Chk SS Treatment</t>
  </si>
  <si>
    <t>PIC Treatment</t>
  </si>
  <si>
    <t>Reg. Sub. Data Treatment</t>
  </si>
  <si>
    <t>PDP Treatment</t>
  </si>
  <si>
    <t>Ref. QoS Profile</t>
  </si>
  <si>
    <t>Matching QoS Profile</t>
  </si>
  <si>
    <t>ns</t>
  </si>
  <si>
    <t>refbsPlanName</t>
  </si>
  <si>
    <t>refssPlanName</t>
  </si>
  <si>
    <t>refodbPlanName</t>
  </si>
  <si>
    <t>refcsiPlanName</t>
  </si>
  <si>
    <t>accessRestr</t>
  </si>
  <si>
    <t>ardTreatment</t>
  </si>
  <si>
    <t>categoryTreatment</t>
  </si>
  <si>
    <t>category</t>
  </si>
  <si>
    <t>netwAccMode</t>
  </si>
  <si>
    <t>netwAccModeTreatment</t>
  </si>
  <si>
    <t>fwdChkSsTreatment</t>
  </si>
  <si>
    <t>picTreatment</t>
  </si>
  <si>
    <t>regSubsDataTreatment</t>
  </si>
  <si>
    <t>pdpTreatment</t>
  </si>
  <si>
    <t>refqOfServName</t>
  </si>
  <si>
    <t>matchQofServName</t>
  </si>
  <si>
    <t>induce</t>
  </si>
  <si>
    <t>Treatment</t>
  </si>
  <si>
    <t>Supplementary Service</t>
  </si>
  <si>
    <t>SS Treatment</t>
  </si>
  <si>
    <t>callWait</t>
  </si>
  <si>
    <t>ssId</t>
  </si>
  <si>
    <t>ssTreatment</t>
  </si>
  <si>
    <t>basicServiceGroups</t>
  </si>
  <si>
    <t>callHold</t>
  </si>
  <si>
    <t>boicExHC</t>
  </si>
  <si>
    <t>universal</t>
  </si>
  <si>
    <t>cfb</t>
  </si>
  <si>
    <t>callRel</t>
  </si>
  <si>
    <t>cfnrc</t>
  </si>
  <si>
    <t>callUnRel</t>
  </si>
  <si>
    <t>cfnry</t>
  </si>
  <si>
    <t>plmnOperator</t>
  </si>
  <si>
    <t>cfu</t>
  </si>
  <si>
    <t>basicSelfLocation</t>
  </si>
  <si>
    <t>autoSelfLocation</t>
  </si>
  <si>
    <t>transferToThirdParty</t>
  </si>
  <si>
    <t>natHotbill</t>
  </si>
  <si>
    <t>cnap</t>
  </si>
  <si>
    <t>clip</t>
  </si>
  <si>
    <t>ect</t>
  </si>
  <si>
    <t>baoc</t>
  </si>
  <si>
    <t>baic</t>
  </si>
  <si>
    <t>boic</t>
  </si>
  <si>
    <t>bicRoam</t>
  </si>
  <si>
    <t>stdUserSig1</t>
  </si>
  <si>
    <t>natUserSig1</t>
  </si>
  <si>
    <t>natss01</t>
  </si>
  <si>
    <t>natss02</t>
  </si>
  <si>
    <t>natss03</t>
  </si>
  <si>
    <t>natss04</t>
  </si>
  <si>
    <t>natss05</t>
  </si>
  <si>
    <t>natss06</t>
  </si>
  <si>
    <t>natss07</t>
  </si>
  <si>
    <t>natss08</t>
  </si>
  <si>
    <t>natss09</t>
  </si>
  <si>
    <t>natss10</t>
  </si>
  <si>
    <t>natss11</t>
  </si>
  <si>
    <t>natss12</t>
  </si>
  <si>
    <t>natss13</t>
  </si>
  <si>
    <t>natss14</t>
  </si>
  <si>
    <t>natss15</t>
  </si>
  <si>
    <t>Camel Subscription</t>
  </si>
  <si>
    <t>CSI profile name</t>
  </si>
  <si>
    <t>CSI profile name to be matched</t>
  </si>
  <si>
    <t>HLRCSITreatment Profile</t>
  </si>
  <si>
    <t>csiId</t>
  </si>
  <si>
    <t>csiTreatment</t>
  </si>
  <si>
    <t>refCSIProfileName</t>
  </si>
  <si>
    <t>matchCSIProfileName</t>
  </si>
  <si>
    <t>refCSITreatment</t>
  </si>
  <si>
    <t>O2_PostPay</t>
  </si>
  <si>
    <t>conditionalReplace</t>
  </si>
  <si>
    <t>conditionalSuppress</t>
  </si>
  <si>
    <t>ODB Treatment</t>
  </si>
  <si>
    <t>ODB Value</t>
  </si>
  <si>
    <t>odbId</t>
  </si>
  <si>
    <t>odbTreatment</t>
  </si>
  <si>
    <t>odbValue</t>
  </si>
  <si>
    <t>sbasicService</t>
  </si>
  <si>
    <t>Basic Service</t>
  </si>
  <si>
    <t>bsTreatment</t>
  </si>
  <si>
    <t>refProfileName</t>
  </si>
  <si>
    <t>matchProfileName</t>
  </si>
  <si>
    <t>treatment</t>
  </si>
  <si>
    <t>IckReplacementHandlingForLUP</t>
  </si>
  <si>
    <t>Replacement Handling for Service Restriction Interrogation</t>
  </si>
  <si>
    <t>key</t>
  </si>
  <si>
    <t>noOptimalRouting</t>
  </si>
  <si>
    <t>replaceByBarringOfOutgoingCalls</t>
  </si>
  <si>
    <t>replaceByBarringOfOutgoingIntCallsExceptToHome</t>
  </si>
  <si>
    <t>tick</t>
  </si>
  <si>
    <t>Terminating IN value suppression</t>
  </si>
  <si>
    <t>suppressTerminatingIN</t>
  </si>
  <si>
    <t>ugCsi</t>
  </si>
  <si>
    <t>gmlc</t>
  </si>
  <si>
    <t>GMLC Identifier</t>
  </si>
  <si>
    <t>GMLC Address</t>
  </si>
  <si>
    <t>gmlcAddress</t>
  </si>
  <si>
    <t>locationServicesProfile</t>
  </si>
  <si>
    <t>gatewayRestriction</t>
  </si>
  <si>
    <t>locationNotificationModeClient</t>
  </si>
  <si>
    <t>locationNotificationMode</t>
  </si>
  <si>
    <t>clientClass</t>
  </si>
  <si>
    <t>supplementaryService</t>
  </si>
  <si>
    <t>Location Notification Mode</t>
  </si>
  <si>
    <t>Client Class</t>
  </si>
  <si>
    <t>identifiedGateway</t>
  </si>
  <si>
    <t>notifyLocation</t>
  </si>
  <si>
    <t>broadcastingLocation</t>
  </si>
  <si>
    <t>callRelated</t>
  </si>
  <si>
    <t>gatewayInHplmn</t>
  </si>
  <si>
    <t>notifyAndVerifyLocationNoResponse</t>
  </si>
  <si>
    <t>inHplmn</t>
  </si>
  <si>
    <t>callUnRelated</t>
  </si>
  <si>
    <t>gatewayAddress</t>
  </si>
  <si>
    <t>anyGateway</t>
  </si>
  <si>
    <t>notifyAndVerifyLocationWithResponse</t>
  </si>
  <si>
    <t>inVplmn</t>
  </si>
  <si>
    <t>locationAllowed</t>
  </si>
  <si>
    <t>recordingAnonymousLocation</t>
  </si>
  <si>
    <t>locationNotAllowed</t>
  </si>
  <si>
    <t>supportingServices</t>
  </si>
  <si>
    <t>Restricted Access Point Name</t>
  </si>
  <si>
    <t>replacement</t>
  </si>
  <si>
    <t>sendingOptions</t>
  </si>
  <si>
    <t>mCsi</t>
  </si>
  <si>
    <t>Mobility Management Trigger</t>
  </si>
  <si>
    <t>mobilityManagementTrigger</t>
  </si>
  <si>
    <t>destinationNumber</t>
  </si>
  <si>
    <t>replaceByBAIC
noReplacement
noOptimalRouting</t>
  </si>
  <si>
    <t>notificationOfSubscriberDataChange 
barringOfPremiumRateCallsOutsideHplmn
barringOfPremiumRateCallsInsideHplmn
reservedOption1..10</t>
  </si>
  <si>
    <t>noWhere
homePlmn
visitedPlmn
allPlmn</t>
  </si>
  <si>
    <t>noReplacement
packetDataProtocolNotAllowed
restrictedAccessPointOnly</t>
  </si>
  <si>
    <t>AccessPointName</t>
  </si>
  <si>
    <t>GPRS Access Point Name. Length Range: 1..62</t>
  </si>
  <si>
    <t>1
2
11
12
14</t>
  </si>
  <si>
    <t>notificationOfSubscriberDataChange
reservedOption1..10</t>
  </si>
  <si>
    <t>notifyLocation
notifyAndVerifyLocationNoResponse
notifyAndVerifyLocationWithResponse
locationAllowed
locationNotAllowed</t>
  </si>
  <si>
    <t>broadcastingLocation
inHplmn
inVplmn
recordingAnonymousLocation
supportingServices</t>
  </si>
  <si>
    <t>callRelated
callUnRelated
plmnOperator</t>
  </si>
  <si>
    <t>String:
1..8 
characters</t>
  </si>
  <si>
    <t>roamingRestrictions
noReplacement</t>
  </si>
  <si>
    <t>locationUpdateInSameVlr
locationUpdateToAnotherVlr
imsiAttach
mobileStationInitiatedImsiDetach
networkInitiatedImsiDetach</t>
  </si>
  <si>
    <t>roamingRestrictions
noReplacement
packetDataProtocolNotAvailable</t>
  </si>
  <si>
    <t>gprsAttach
mobileStationInitiatedGprsDetach
networkInitiatedGprsDetach
RoutingAreaUpdateToAnotherSgsn
RoutingAreaUpdateWithinSameSgsn
RoutingAreaUpdateToAnotherSgsnDisconnectByDetach
networkInTransmissionToMobileStationForPaging</t>
  </si>
  <si>
    <t>GprsMobilityManagementTrigger</t>
  </si>
  <si>
    <t>roamingRestrictions
noReplacement
suppressMobileTerminatingSms</t>
  </si>
  <si>
    <t>SmsType</t>
  </si>
  <si>
    <t>isOperatorBarringAvailable</t>
  </si>
  <si>
    <t>isCallingLineIDRestrictionAvailable</t>
  </si>
  <si>
    <t>isConnectedLineIDPresentationAvailable</t>
  </si>
  <si>
    <t>isCallHoldAvailable</t>
  </si>
  <si>
    <t>isCallWaitAvailable</t>
  </si>
  <si>
    <t>isCallBarringAvailable</t>
  </si>
  <si>
    <t>isMultiPartyAvailable</t>
  </si>
  <si>
    <t>isCallCompletitionToBusySubscriberAvailable</t>
  </si>
  <si>
    <t>isExplicitCallTransferAvailable</t>
  </si>
  <si>
    <t>Profile name</t>
  </si>
  <si>
    <t>allPlmn; homePlmn; noWhere; visitedPlmn</t>
  </si>
  <si>
    <t>ALLOWED = true
NOT ALLOWED = false</t>
  </si>
  <si>
    <t>to</t>
  </si>
  <si>
    <t>type</t>
  </si>
  <si>
    <t>international
unknown</t>
  </si>
  <si>
    <t>1-operatorBarring1
2-operatorBarring2
3-operatorBarring3
4-operatorBarring4
5-premiumRateInfoCallsBarring
6-premiumRateEnterCallsBarring
7-subscriberFeature1
8-subscriberFeature2
9-subscriberFeature3
10-subscriberFeature4
11-allSubscribers</t>
  </si>
  <si>
    <t>true</t>
  </si>
  <si>
    <t>false</t>
  </si>
  <si>
    <t>true
false</t>
  </si>
  <si>
    <t>Delivery Order must be maintained or not.</t>
  </si>
  <si>
    <t>isAllowed</t>
  </si>
  <si>
    <t>isdnNumber</t>
  </si>
  <si>
    <t>NumericString</t>
  </si>
  <si>
    <t>plmnId</t>
  </si>
  <si>
    <t>Integer</t>
  </si>
  <si>
    <t>blackIsdnNumber</t>
  </si>
  <si>
    <t>whiteIsdnNumber</t>
  </si>
  <si>
    <t>PLMN ID</t>
  </si>
  <si>
    <t>Black ISDN Number(s)</t>
  </si>
  <si>
    <t>White ISDN Number(s)</t>
  </si>
  <si>
    <t>ServiceIndicator</t>
  </si>
  <si>
    <t>Short code</t>
  </si>
  <si>
    <t>Value Range: 0..9</t>
  </si>
  <si>
    <t>Value Range: 0..999</t>
  </si>
  <si>
    <t>CAMEL capability phase</t>
  </si>
  <si>
    <t>replacementForRoutingAreaUpdate</t>
  </si>
  <si>
    <t>TRIGGER DETECTION POINT</t>
  </si>
  <si>
    <t>callCompletitionToBusySubscriber
multiParty
bothCcbsAndMultiParty
explicitCallTransfer
callDeflection</t>
  </si>
  <si>
    <t>roamingRestrictions
noReplacement
multiPartyNotAllowed
explicitCallTransferNotAllowed
multiPartyAndExplicitCallTransferNotAllowed</t>
  </si>
  <si>
    <t>addressType</t>
  </si>
  <si>
    <t>address</t>
  </si>
  <si>
    <t>fixedFormat
subcriberDependent
serviceCenterAddress
nationalFormat</t>
  </si>
  <si>
    <t>Address type</t>
  </si>
  <si>
    <t>Address</t>
  </si>
  <si>
    <t>String:
1..16 characters</t>
  </si>
  <si>
    <t xml:space="preserve">sendVlrisdInsideHplmn </t>
  </si>
  <si>
    <t xml:space="preserve">sendVlrisdOutsideHplmn </t>
  </si>
  <si>
    <t xml:space="preserve">suppressTcsiForCfuOrCfnrc </t>
  </si>
  <si>
    <t xml:space="preserve">suppressTcsiForCfuOrViolation </t>
  </si>
  <si>
    <t xml:space="preserve">suppressTcsiForVtcsi </t>
  </si>
  <si>
    <t xml:space="preserve">suppressCfuCheck </t>
  </si>
  <si>
    <t xml:space="preserve">reduceBarringCheckPriority </t>
  </si>
  <si>
    <t xml:space="preserve">reservedOption1 </t>
  </si>
  <si>
    <t xml:space="preserve">reservedOption2 </t>
  </si>
  <si>
    <t xml:space="preserve">reservedOption3 </t>
  </si>
  <si>
    <t xml:space="preserve">reservedOption4 </t>
  </si>
  <si>
    <t xml:space="preserve">reservedOption5 </t>
  </si>
  <si>
    <t xml:space="preserve">reservedOption6 </t>
  </si>
  <si>
    <t xml:space="preserve">reservedOption7 </t>
  </si>
  <si>
    <t xml:space="preserve">reservedOption8 </t>
  </si>
  <si>
    <t xml:space="preserve">reservedOption9 </t>
  </si>
  <si>
    <t>TSendingOptions</t>
  </si>
  <si>
    <t>Status retrieval</t>
  </si>
  <si>
    <t>Location retrieval</t>
  </si>
  <si>
    <t>Forced retrieval of current location</t>
  </si>
  <si>
    <t>12
13
14</t>
  </si>
  <si>
    <t>homePlmn</t>
  </si>
  <si>
    <t xml:space="preserve">Service code </t>
  </si>
  <si>
    <t>Service control function</t>
  </si>
  <si>
    <t>IMSI
MSISDN
HLR-NUM 
VLR-NUM</t>
  </si>
  <si>
    <t>Send MSISDN in OEN in BSA
Send HLR NUM in OEN in BSA
Send VLR NUM in OEN in BSA</t>
  </si>
  <si>
    <t xml:space="preserve">  
Short code</t>
  </si>
  <si>
    <t>Directory number</t>
  </si>
  <si>
    <t>Operator name</t>
  </si>
  <si>
    <t>directoryNumber</t>
  </si>
  <si>
    <t>operatorName</t>
  </si>
  <si>
    <t>String:
1..8 characters</t>
  </si>
  <si>
    <t>roamingRestrictions
noReplacement
replaceByBarringOfIncommingCalls</t>
  </si>
  <si>
    <t>roamingRestrictions
noReplacement
replaceByBarringOfOutgoingCalls
replaceByBarringOfOutgoingIntCallsExceptToHome</t>
  </si>
  <si>
    <t>Extended Originating IN Capability Indicator</t>
  </si>
  <si>
    <t>triggeringAllMultipleMsg</t>
  </si>
  <si>
    <t>detectionPntStatusReport</t>
  </si>
  <si>
    <t>detectionPntMobOriginating</t>
  </si>
  <si>
    <t>detectionPntMobTerminating</t>
  </si>
  <si>
    <t>Triggering All Multiple Message</t>
  </si>
  <si>
    <t>Detection Point Status Report</t>
  </si>
  <si>
    <t>Detection Point Mobile Originating</t>
  </si>
  <si>
    <t>Detection Point Mobile Terminating</t>
  </si>
  <si>
    <t>advtData</t>
  </si>
  <si>
    <t>Advertisement Data</t>
  </si>
  <si>
    <t>String</t>
  </si>
  <si>
    <t>refRoamPlanRouting</t>
  </si>
  <si>
    <t>refRoamPlanStandard</t>
  </si>
  <si>
    <t>Roaming Plan Name</t>
  </si>
  <si>
    <t>UTRANNotAllowed
GERANNotAllowed
E-UTRANNotAllowed</t>
  </si>
  <si>
    <t>ns
induce
suppress</t>
  </si>
  <si>
    <t>ns
replace</t>
  </si>
  <si>
    <t>Value Range: 0..254</t>
  </si>
  <si>
    <t>None
GSM
GPRS
GSMGPRS</t>
  </si>
  <si>
    <t>ns_rna
s_rna
ns</t>
  </si>
  <si>
    <t>ns
replace
conditionalReplace
conditionalSuppress</t>
  </si>
  <si>
    <t>PDP Plans</t>
  </si>
  <si>
    <t>refPDPServicePlan</t>
  </si>
  <si>
    <t>refCategoryServicePlan</t>
  </si>
  <si>
    <t>Category Service Plan</t>
  </si>
  <si>
    <t>HLRPDPContext</t>
  </si>
  <si>
    <t>BS Plan Name</t>
  </si>
  <si>
    <t>BS Treatment</t>
  </si>
  <si>
    <t>Taking the following values.
TS11
TS21
TS22
TS61
TS62
VGCS
VBS
CDA
CDS
ALS
PAD
TS21GPRS
TS22GPRS
BS61A
BS81A</t>
  </si>
  <si>
    <t xml:space="preserve">17- cs
21- ns, raa
23- ns, rna
29- s, raa
32- s, rna
35- ns
</t>
  </si>
  <si>
    <t>SS Plan Name</t>
  </si>
  <si>
    <t>Supplementary service ID</t>
  </si>
  <si>
    <t>Basic service group(s)</t>
  </si>
  <si>
    <t>65-CW, 66-CallHold, 177-universal, 178-callRel, 179-callUnRel, 180-plmnOperator,193-basicSelfLc, 194-autoSelfLc, 195-transfToThirdPty, 241-HotBill, 25-CNAP, 17-CLIP, 18-CLIR, 19-COLP,20 COLR, 81 MPTY, 113 AOCI, 114 AOCC, 97 CUG, 161 EMLPP, 257-272 -Natss01-Natss15, 129 UUS1, 246 UUS1, 33 CFU,41 CFB, 42 CFNRY, 43 CFNRC, 49 ECT, 146 BAOC, 154 BAIC, 281  CFD-CFB, 282 CFD-CFNRC, 283 CFD-CFNRY</t>
  </si>
  <si>
    <t xml:space="preserve">It can take the following values :
15 - cns,
16 - csu,
23 - ns, rna,
32 - s, rna
35 - ns,
36 - induce
</t>
  </si>
  <si>
    <t>It can take possible values:
TS10- allSpeechTransmissionServices
TS20- allShortMessageSevices
TS60- allFacsimileTransmissionServices
BS20- allDataCDAServices
BS30- allDataCDSServices
BS40- allPADAccess</t>
  </si>
  <si>
    <t>clir</t>
  </si>
  <si>
    <t>colp</t>
  </si>
  <si>
    <t>colr</t>
  </si>
  <si>
    <t>mpty</t>
  </si>
  <si>
    <t>aoci</t>
  </si>
  <si>
    <t>aocc</t>
  </si>
  <si>
    <t>cug</t>
  </si>
  <si>
    <t>emlpp</t>
  </si>
  <si>
    <t>cfdCfb</t>
  </si>
  <si>
    <t>cfdCfnrc</t>
  </si>
  <si>
    <t>cfdCfnry</t>
  </si>
  <si>
    <t xml:space="preserve">ODB Plan Name </t>
  </si>
  <si>
    <t>ODB ID</t>
  </si>
  <si>
    <t>BAOC
BAIC
BAROAM
PREMIUM
BASSM
HPLMN
POACCESS
ECT
ODBROAMGPRS</t>
  </si>
  <si>
    <t>Treatment to be applied on ODB.  It can take one of the possible values:
23 - ns,  rna
25 - s, del
31 - s,res
32 - s,rna
33 - tus, del
34 - tus, res
35 - ns
36 - induce</t>
  </si>
  <si>
    <t>OCSI
TCSI
SSCSI
GPRSCSI
VTCSI
SMSCSI
MCSI
DCSI
MTSMSCSI
MGCSI
UCSI
OICK
TICK
TIFCSI
SSET
EMOICK</t>
  </si>
  <si>
    <t>It can take the following values :
19 - ns, nsusgr
18 - ns, nsusgh
20 - ns, nsusms
21 - ns, raa
22 - ns, raalt
23 - ns, rna
24 - ns, rnscnc
26 - s, nsusgh
27 - s, nsusgr
28 - s, nsusms
30 - s, raalt
32 - s, rna
35 - ns
36 - induce
39 - Conditional Replace
40 - Conditional suppress</t>
  </si>
  <si>
    <t>references to NSR profile type that
matches with csiID type</t>
  </si>
  <si>
    <t>(The usage of matchCSIProfileName tag in CSIPlan FCO is deprecated since
the HLR FE does not use it. The support for this might be removed in future)
string</t>
  </si>
  <si>
    <t>Spatial trigger</t>
  </si>
  <si>
    <t>Numeric:
1..255</t>
  </si>
  <si>
    <t>E.164 defines the number within numbering plan for global title routing/address
                  Only Country Code (1-3 digits) is mandatory
            Length Range: 1..15</t>
  </si>
  <si>
    <t>String –
Multivalued</t>
  </si>
  <si>
    <t>weight</t>
  </si>
  <si>
    <t>Weight</t>
  </si>
  <si>
    <t>Address List Name</t>
  </si>
  <si>
    <t>EMOICK Name</t>
  </si>
  <si>
    <t xml:space="preserve">EMOICK </t>
  </si>
  <si>
    <t>Replacement handling for LUP</t>
  </si>
  <si>
    <t>emoick</t>
  </si>
  <si>
    <t>0 – EMO-ICK is not used
1 – 9 999 available EMOICK values Default is 0</t>
  </si>
  <si>
    <t>roamingRestrictions
barringOfOutgoingCalls
barringOfOutgoingCallsExceptTS22
noReplacement</t>
  </si>
  <si>
    <t>Regular Expression
This attribute defines the regular expression used to match the input string.</t>
  </si>
  <si>
    <t>Holds a list of default tokens with values. (defaultTokenList)</t>
  </si>
  <si>
    <t>Describes how to set the tokens while parsing a string, when a regular expression is matched.
The token is set prior to any modifications being applied. (tokenSetCriteria)</t>
  </si>
  <si>
    <t>refNextRuleSetOrRuleId</t>
  </si>
  <si>
    <t>name</t>
  </si>
  <si>
    <t>value</t>
  </si>
  <si>
    <t>tokenCriteriaName</t>
  </si>
  <si>
    <t>tokenTarget</t>
  </si>
  <si>
    <t>1: string
2: token</t>
  </si>
  <si>
    <t>String\regEx</t>
  </si>
  <si>
    <t>whole
match
prematch
postmatch</t>
  </si>
  <si>
    <t>delete
predelete
postdelete
replace
prefix
postfix
replaceWithToken
preAddToken
postAddToken</t>
  </si>
  <si>
    <t>finish
rule
ruleSet</t>
  </si>
  <si>
    <t>Printable String of length 1 .. 40</t>
  </si>
  <si>
    <t>MATCH
Specifies the target on which rule modification must be applied</t>
  </si>
  <si>
    <t>MATCH
Specifies the type of modification to be done for rule processing</t>
  </si>
  <si>
    <t>MATCH
Number of characters to be deleted</t>
  </si>
  <si>
    <t>MATCH
Holds text string</t>
  </si>
  <si>
    <t>MATCH
matchBehaviour</t>
  </si>
  <si>
    <t>MATCH
nextRuleSetOrRuleId</t>
  </si>
  <si>
    <t>MATCH
This attribute indicates the result to return if nextStepType is set to "finish", either "success" or "failure".</t>
  </si>
  <si>
    <t>NON MATCH
Specifies the target on which rule modification must be applied</t>
  </si>
  <si>
    <t>NON MATCH
Specifies the type of modification to be done for rule processing</t>
  </si>
  <si>
    <t>NON MATCH
Number of characters to be deleted</t>
  </si>
  <si>
    <t>NON MATCH
Holds text string</t>
  </si>
  <si>
    <t>NON MATCH
NON MATCHBehaviour</t>
  </si>
  <si>
    <t>NON MATCH
nextRuleSetOrRuleId</t>
  </si>
  <si>
    <t>NON MATCH
This attribute indicates the result to return if nextStepType is set to "finish", either "success" or "failure".</t>
  </si>
  <si>
    <t>Use Rule Set ID
string</t>
  </si>
  <si>
    <t>featureType</t>
  </si>
  <si>
    <t>refLsgList</t>
  </si>
  <si>
    <t>3gpp_router
nsn_router
3gpp_normal_enh1
no_tel_enh2
real_imsi_conf_vmsc_enh3"/
fix_imsi_fix_vmsc_enh4
ip_sm_gw
mss_multisim_ih
sms_prio_cond_overwrite</t>
  </si>
  <si>
    <t>SSET Name</t>
  </si>
  <si>
    <t>SSET Trigger</t>
  </si>
  <si>
    <t>INProfile</t>
  </si>
  <si>
    <t>Replacement handling for interrogation</t>
  </si>
  <si>
    <t>ssetTrigger</t>
  </si>
  <si>
    <t>inProfile</t>
  </si>
  <si>
    <t>Integer:
Range 1..65
535 of decimal
numbers</t>
  </si>
  <si>
    <t>full
limited
locationDependent</t>
  </si>
  <si>
    <t>Enumeration:
roamingRestrictions,
barringOfOutgoingCalls,
barringOfOutgoingCallsExceptTS22,
noReplacement</t>
  </si>
  <si>
    <t>Enumeration:
replaceByBAIC,
noReplacement</t>
  </si>
  <si>
    <t>Use CSI Profile</t>
  </si>
  <si>
    <t>conditionalSuppress
conditionalReplace</t>
  </si>
  <si>
    <t>Category Treatment Name</t>
  </si>
  <si>
    <t>Only treatment ‘ns’ is supported
for HLRCategoryTreatment
NSR</t>
  </si>
  <si>
    <t>refProfileName and matchProfileName cannot be same</t>
  </si>
  <si>
    <t>PS Treatment Name</t>
  </si>
  <si>
    <t>PS Treatment Type</t>
  </si>
  <si>
    <t>Referenced PS Profile</t>
  </si>
  <si>
    <t>Match PS Profile</t>
  </si>
  <si>
    <t>From PDP Context</t>
  </si>
  <si>
    <t>ims</t>
  </si>
  <si>
    <t>nisginet</t>
  </si>
  <si>
    <t>Service Plan Type</t>
  </si>
  <si>
    <t>Referenced Service Treatmen</t>
  </si>
  <si>
    <t>refTreatment</t>
  </si>
  <si>
    <t>Enumeration:
PDP
RC
ExtRC</t>
  </si>
  <si>
    <t>Treatment NSR is one of the following
* HLRPSTreatment -&gt; If type is PDP
* HLRCategoryTreatment -&gt; If type is RC/ExtRC</t>
  </si>
  <si>
    <t>PDP Context Name</t>
  </si>
  <si>
    <t>Address Type</t>
  </si>
  <si>
    <t>Access point name</t>
  </si>
  <si>
    <t>Access point name area</t>
  </si>
  <si>
    <t>Charging Characteristics 
CC-Profile</t>
  </si>
  <si>
    <t>Charging Characteristics 
CC-Behaviour</t>
  </si>
  <si>
    <t>EXT Address Type</t>
  </si>
  <si>
    <t>apn</t>
  </si>
  <si>
    <t>apnArea</t>
  </si>
  <si>
    <t>chargingCharacteristicsProfile</t>
  </si>
  <si>
    <t>chargingCharacteristicsBehavior</t>
  </si>
  <si>
    <t>extType</t>
  </si>
  <si>
    <t>Subscriber Fraud Profile Name</t>
  </si>
  <si>
    <t>Mobile Origination-&gt;Time Limit</t>
  </si>
  <si>
    <t>Mobile Origination-&gt;Action</t>
  </si>
  <si>
    <t>Call Forwarding-&gt;Time Limit</t>
  </si>
  <si>
    <t>Call Forwarding-&gt;Action</t>
  </si>
  <si>
    <t>Call Transfer-&gt;Time Limit</t>
  </si>
  <si>
    <t>Call Transfer-&gt;Action</t>
  </si>
  <si>
    <t>Call Transfer Invocation-&gt;Maximum</t>
  </si>
  <si>
    <t>Call Transfer Invocation-&gt;Action</t>
  </si>
  <si>
    <t>Fraud Observation Features Call Forwarding-&gt;Maximum</t>
  </si>
  <si>
    <t>Fraud Observation Features Call Forwarding-&gt;Action</t>
  </si>
  <si>
    <t>timer</t>
  </si>
  <si>
    <t>action</t>
  </si>
  <si>
    <t>maxAllowed</t>
  </si>
  <si>
    <t>cfrMax</t>
  </si>
  <si>
    <t>cfrAction</t>
  </si>
  <si>
    <t>Report
Reject
ReportAndReject</t>
  </si>
  <si>
    <t>Report
Reject
ReportAndReject
NESpecificAction</t>
  </si>
  <si>
    <t>HLRFraudObservation</t>
  </si>
  <si>
    <t>Observation State</t>
  </si>
  <si>
    <t>Call Forwarding Fraud Action</t>
  </si>
  <si>
    <t>Events</t>
  </si>
  <si>
    <t>Period</t>
  </si>
  <si>
    <t>state</t>
  </si>
  <si>
    <t>fraudAction</t>
  </si>
  <si>
    <t>maxFraudEvents</t>
  </si>
  <si>
    <t>samplingPeriod</t>
  </si>
  <si>
    <t>cfReg
simObs</t>
  </si>
  <si>
    <t>Start
Stop</t>
  </si>
  <si>
    <t>cfReg</t>
  </si>
  <si>
    <t>FTNO Data Name</t>
  </si>
  <si>
    <t>Forwarded-to number</t>
  </si>
  <si>
    <t>ftno</t>
  </si>
  <si>
    <t>FTNO Profile Name</t>
  </si>
  <si>
    <t>Referenced FTNO Data</t>
  </si>
  <si>
    <t>refHlrFtnoDataNames</t>
  </si>
  <si>
    <t>Use FTNO Data</t>
  </si>
  <si>
    <t>CONTINUE = true
RELEASE = false</t>
  </si>
  <si>
    <t>no</t>
  </si>
  <si>
    <t xml:space="preserve">Trigger Detection Point </t>
  </si>
  <si>
    <t>tdpid</t>
  </si>
  <si>
    <t>2</t>
  </si>
  <si>
    <t>noWhere</t>
  </si>
  <si>
    <t>ID2ID580</t>
  </si>
  <si>
    <t>HLR-NUM</t>
  </si>
  <si>
    <t>VLR-NUM</t>
  </si>
  <si>
    <t>Send HLR NUM in OEN in BSA</t>
  </si>
  <si>
    <t>unrestrictedDigital</t>
  </si>
  <si>
    <t>3
4
3,4</t>
  </si>
  <si>
    <t>3</t>
  </si>
  <si>
    <t>Destination Number</t>
  </si>
  <si>
    <t>format</t>
  </si>
  <si>
    <t>Format</t>
  </si>
  <si>
    <t>International
Unknown</t>
  </si>
  <si>
    <t>international</t>
  </si>
  <si>
    <t>tdpDestinationLength</t>
  </si>
  <si>
    <t>suppressCtcInsideHplmn</t>
  </si>
  <si>
    <t>suppressCtcOutsideHplmn</t>
  </si>
  <si>
    <t>suppressSmsInsideHplmn</t>
  </si>
  <si>
    <t>suppressSmsOutsideHplmn</t>
  </si>
  <si>
    <t>barringOfOutgoingCallsExceptTS22</t>
  </si>
  <si>
    <t>releaseCallOutsideHplmn</t>
  </si>
  <si>
    <t>OSendingOptions</t>
  </si>
  <si>
    <t>Enable TDP Criteria: Destination Match Type</t>
  </si>
  <si>
    <t>TDP Destination Length</t>
  </si>
  <si>
    <t>Forward TDP Criteria</t>
  </si>
  <si>
    <t>basicServiceCriteria</t>
  </si>
  <si>
    <t>releaseCause</t>
  </si>
  <si>
    <t>unAllocatedNumber</t>
  </si>
  <si>
    <t>noRouteToSpecificTransitNetwork</t>
  </si>
  <si>
    <t>noRouteToDestination</t>
  </si>
  <si>
    <t>sendSpecialInfoTone</t>
  </si>
  <si>
    <t>misDialedTrunkPrefix</t>
  </si>
  <si>
    <t>channelUnAcceptable</t>
  </si>
  <si>
    <t>callAwardedBeingDelivered</t>
  </si>
  <si>
    <t>preemption</t>
  </si>
  <si>
    <t>preemptionReservedForReuse</t>
  </si>
  <si>
    <t>normalCallClearing</t>
  </si>
  <si>
    <t>userBusy</t>
  </si>
  <si>
    <t>noUserResponding</t>
  </si>
  <si>
    <t>noAnswerFromUser</t>
  </si>
  <si>
    <t>subscriberAbsent</t>
  </si>
  <si>
    <t>callRejected</t>
  </si>
  <si>
    <t>numberChanged</t>
  </si>
  <si>
    <t>redirectionToNewDestination</t>
  </si>
  <si>
    <t>exchangeRoutingError</t>
  </si>
  <si>
    <t>nonSelectedUserClearing</t>
  </si>
  <si>
    <t>destinationOutOfOrder</t>
  </si>
  <si>
    <t>invalidNumberFormat</t>
  </si>
  <si>
    <t>facilityRejected</t>
  </si>
  <si>
    <t>noResponseToStatusEnquiry</t>
  </si>
  <si>
    <t>normalUnspecified</t>
  </si>
  <si>
    <t>noCurcuitChannelAvailable</t>
  </si>
  <si>
    <t>networkOutOfOrder</t>
  </si>
  <si>
    <t>connectionOutOfService</t>
  </si>
  <si>
    <t>connectionOperational</t>
  </si>
  <si>
    <t>temporaryFailure</t>
  </si>
  <si>
    <t>switchingEquipmentCongestion</t>
  </si>
  <si>
    <t>accessInfoDiscarded</t>
  </si>
  <si>
    <t>requestedCurcuitChannelNotAvailable</t>
  </si>
  <si>
    <t>precedenceCallBlocked</t>
  </si>
  <si>
    <t>resourceUnAvailable</t>
  </si>
  <si>
    <t>qualityOfServiceNotAvailable</t>
  </si>
  <si>
    <t>requestedFacilityNotAvailable</t>
  </si>
  <si>
    <t>barringOutgoingCallWithinCug</t>
  </si>
  <si>
    <t>barringIncomingCallWithinCug</t>
  </si>
  <si>
    <t>bearerCapabilityNotAuthorized</t>
  </si>
  <si>
    <t>bearerCapabilityNotAvailable</t>
  </si>
  <si>
    <t>inconsistency</t>
  </si>
  <si>
    <t>serviceOrOptionNotAvailable</t>
  </si>
  <si>
    <t>bearerCapabilityNotImplemented</t>
  </si>
  <si>
    <t>channelTypeNotImplemented</t>
  </si>
  <si>
    <t>requestedFaclityNotImplemented</t>
  </si>
  <si>
    <t>onlyRestrictedInfoAvailable</t>
  </si>
  <si>
    <t>serviceOrOptionNotImplemted</t>
  </si>
  <si>
    <t>invalidCallReferenceValue</t>
  </si>
  <si>
    <t>channelIdDoesNotExist</t>
  </si>
  <si>
    <t>suspendedCallExists</t>
  </si>
  <si>
    <t>callIdentityInUse</t>
  </si>
  <si>
    <t>noCallSuspended</t>
  </si>
  <si>
    <t>requestedCallIdCleared</t>
  </si>
  <si>
    <t>userIsNotMemberOfCug</t>
  </si>
  <si>
    <t>incompatibleDestination</t>
  </si>
  <si>
    <t>nonExistentClosedUserGroup</t>
  </si>
  <si>
    <t>invalidTransitNetworkSelection</t>
  </si>
  <si>
    <t>invalidMessage</t>
  </si>
  <si>
    <t>mandatoryInfoElementMissing</t>
  </si>
  <si>
    <t>messageTypeNonExistent</t>
  </si>
  <si>
    <t>messageNotCompatible</t>
  </si>
  <si>
    <t>infoElementParameterNonExistent</t>
  </si>
  <si>
    <t>invalidInfoElementContent</t>
  </si>
  <si>
    <t>messageNotCompatibleWithCallState</t>
  </si>
  <si>
    <t>recoveryOnTimeExpiry</t>
  </si>
  <si>
    <t>parameterNonExistentPassedOn</t>
  </si>
  <si>
    <t>messageDiscarded</t>
  </si>
  <si>
    <t>protocolErrorUnSpecified</t>
  </si>
  <si>
    <t>interworkingUnSpecified</t>
  </si>
  <si>
    <t>reservedCause10</t>
  </si>
  <si>
    <t>reservedCause11</t>
  </si>
  <si>
    <t>reservedCause12</t>
  </si>
  <si>
    <t>reservedCause13</t>
  </si>
  <si>
    <t>reservedCause14</t>
  </si>
  <si>
    <t>reservedCause15</t>
  </si>
  <si>
    <t>reservedCause24</t>
  </si>
  <si>
    <t>reservedCause32</t>
  </si>
  <si>
    <t>reservedCause33</t>
  </si>
  <si>
    <t>reservedCause35</t>
  </si>
  <si>
    <t>reservedCause36</t>
  </si>
  <si>
    <t>reservedCause37</t>
  </si>
  <si>
    <t>reservedCause45</t>
  </si>
  <si>
    <t>reservedCause48</t>
  </si>
  <si>
    <t>reservedCause51</t>
  </si>
  <si>
    <t>reservedCause52</t>
  </si>
  <si>
    <t>reservedCause54</t>
  </si>
  <si>
    <t>reservedCause56</t>
  </si>
  <si>
    <t>reservedCause59</t>
  </si>
  <si>
    <t>reservedCause60</t>
  </si>
  <si>
    <t>reservedCause61</t>
  </si>
  <si>
    <t>reservedCause64</t>
  </si>
  <si>
    <t>reservedCause67</t>
  </si>
  <si>
    <t>reservedCause68</t>
  </si>
  <si>
    <t>reservedCause71</t>
  </si>
  <si>
    <t>reservedCause72</t>
  </si>
  <si>
    <t>reservedCause73</t>
  </si>
  <si>
    <t>reservedCause74</t>
  </si>
  <si>
    <t>reservedCause75</t>
  </si>
  <si>
    <t>reservedCause76</t>
  </si>
  <si>
    <t>reservedCause77</t>
  </si>
  <si>
    <t>reservedCause78</t>
  </si>
  <si>
    <t>reservedCause80</t>
  </si>
  <si>
    <t>reservedCause89</t>
  </si>
  <si>
    <t>reservedCause92</t>
  </si>
  <si>
    <t>reservedCause93</t>
  </si>
  <si>
    <t>reservedCause94</t>
  </si>
  <si>
    <t>reservedCause104</t>
  </si>
  <si>
    <t>reservedCause105</t>
  </si>
  <si>
    <t>reservedCause106</t>
  </si>
  <si>
    <t>reservedCause107</t>
  </si>
  <si>
    <t>reservedCause108</t>
  </si>
  <si>
    <t>reservedCause109</t>
  </si>
  <si>
    <t>reservedCause112</t>
  </si>
  <si>
    <t>reservedCause113</t>
  </si>
  <si>
    <t>reservedCause114</t>
  </si>
  <si>
    <t>reservedCause115</t>
  </si>
  <si>
    <t>reservedCause116</t>
  </si>
  <si>
    <t>reservedCause117</t>
  </si>
  <si>
    <t>reservedCause118</t>
  </si>
  <si>
    <t>reservedCause119</t>
  </si>
  <si>
    <t>reservedCause120</t>
  </si>
  <si>
    <t>reservedCause121</t>
  </si>
  <si>
    <t>reservedCause122</t>
  </si>
  <si>
    <t>reservedCause123</t>
  </si>
  <si>
    <t>reservedCause124</t>
  </si>
  <si>
    <t>reservedCause125</t>
  </si>
  <si>
    <t>reservedCause126</t>
  </si>
  <si>
    <t>ReleaseCause</t>
  </si>
  <si>
    <t>Release Cause</t>
  </si>
  <si>
    <t>TS10-telephony</t>
  </si>
  <si>
    <t>TS20-shortMessage</t>
  </si>
  <si>
    <t>TS60-fax</t>
  </si>
  <si>
    <t>BS20-dataAsync</t>
  </si>
  <si>
    <t>BS30-dataSync</t>
  </si>
  <si>
    <t>BS40-padAccess</t>
  </si>
  <si>
    <t>TS11</t>
  </si>
  <si>
    <t>TS12</t>
  </si>
  <si>
    <t>TS21</t>
  </si>
  <si>
    <t>TS22</t>
  </si>
  <si>
    <t>TS61</t>
  </si>
  <si>
    <t>TS62</t>
  </si>
  <si>
    <t>VGCS</t>
  </si>
  <si>
    <t>VBS</t>
  </si>
  <si>
    <t>BS20GENR</t>
  </si>
  <si>
    <t>BS21</t>
  </si>
  <si>
    <t>BS22</t>
  </si>
  <si>
    <t>BS23</t>
  </si>
  <si>
    <t>BS24</t>
  </si>
  <si>
    <t>BS25</t>
  </si>
  <si>
    <t>BS26</t>
  </si>
  <si>
    <t>BS30GENR</t>
  </si>
  <si>
    <t>BS31</t>
  </si>
  <si>
    <t>BS32</t>
  </si>
  <si>
    <t>BS33</t>
  </si>
  <si>
    <t>BS34</t>
  </si>
  <si>
    <t>BS40GENR</t>
  </si>
  <si>
    <t>BS41</t>
  </si>
  <si>
    <t>BS42</t>
  </si>
  <si>
    <t>BS44</t>
  </si>
  <si>
    <t>BS45</t>
  </si>
  <si>
    <t>BS46</t>
  </si>
  <si>
    <t>BS61A</t>
  </si>
  <si>
    <t>BS81A</t>
  </si>
  <si>
    <t>AllTeleservices</t>
  </si>
  <si>
    <t>AllBearerServices</t>
  </si>
  <si>
    <t>Basic Services and Basic Service Groups</t>
  </si>
  <si>
    <t>Length Range: 1..15</t>
  </si>
  <si>
    <t>packetDataProtocolNotAllowed</t>
  </si>
  <si>
    <t>teste.com</t>
  </si>
  <si>
    <t>clientAddress</t>
  </si>
  <si>
    <t>notificationMode</t>
  </si>
  <si>
    <t>Client address</t>
  </si>
  <si>
    <t>Client Location</t>
  </si>
  <si>
    <t>GMLC Restriction</t>
  </si>
  <si>
    <t>identifiedGateway
gatewayInHplmn
anyGateway</t>
  </si>
  <si>
    <t>notifyLocation
notifyAndVerifyLocationNoResponse
notifyAndVerifyLocationWithResponse
locationAllowed</t>
  </si>
  <si>
    <t>teste1</t>
  </si>
  <si>
    <t>Teste2</t>
  </si>
  <si>
    <t>Teste3</t>
  </si>
  <si>
    <t>locationUpdateInSameVlr</t>
  </si>
  <si>
    <t>packetDataProtocolNotAvailable</t>
  </si>
  <si>
    <t>mobileStationInitiatedGprsDetach</t>
  </si>
  <si>
    <t>Replacement Handling for Routing Area Update</t>
  </si>
  <si>
    <t>suppressMobileTerminatingSms</t>
  </si>
  <si>
    <t>statusReport</t>
  </si>
  <si>
    <t>submitReport</t>
  </si>
  <si>
    <t>delivery
statusReport
submitReport</t>
  </si>
  <si>
    <t>smsType</t>
  </si>
  <si>
    <t>available or not
true/false</t>
  </si>
  <si>
    <t>callCompletitionToBusySubscriber</t>
  </si>
  <si>
    <t>multiParty</t>
  </si>
  <si>
    <t>serviceCenterAddress</t>
  </si>
  <si>
    <t>3r32r23r2</t>
  </si>
  <si>
    <t>NOT USED FOR NOW</t>
  </si>
  <si>
    <t>AddressList</t>
  </si>
  <si>
    <t>EMOICKProfile</t>
  </si>
  <si>
    <t>NbrRule</t>
  </si>
  <si>
    <t>NbrRuleSet</t>
  </si>
  <si>
    <t>NbrTranslation</t>
  </si>
  <si>
    <t>SmsPriorityList</t>
  </si>
  <si>
    <t>SSetProfile</t>
  </si>
  <si>
    <t>CSITreatment</t>
  </si>
  <si>
    <t>CategoryTreatment</t>
  </si>
  <si>
    <t>PSTreatment</t>
  </si>
  <si>
    <t>ServicePlan</t>
  </si>
  <si>
    <t>PDPContext</t>
  </si>
  <si>
    <t>FraudProfile</t>
  </si>
  <si>
    <t>FTNOData</t>
  </si>
  <si>
    <t>FTNOProfile</t>
  </si>
  <si>
    <t>ussdAdvt</t>
  </si>
  <si>
    <t>dagfadfgda</t>
  </si>
  <si>
    <t>dafgadfg</t>
  </si>
  <si>
    <t>bsPlan</t>
  </si>
  <si>
    <t>ssPlan</t>
  </si>
  <si>
    <t>s_del</t>
  </si>
  <si>
    <t>s_res</t>
  </si>
  <si>
    <t>BASSM</t>
  </si>
  <si>
    <t>PREMIUM</t>
  </si>
  <si>
    <t>MCSI</t>
  </si>
  <si>
    <t>SMSCSI</t>
  </si>
  <si>
    <t>addressList</t>
  </si>
  <si>
    <t>dafgdafg</t>
  </si>
  <si>
    <t>match</t>
  </si>
  <si>
    <t>replaceWithToken</t>
  </si>
  <si>
    <t>rty</t>
  </si>
  <si>
    <t>yry</t>
  </si>
  <si>
    <t>postfix</t>
  </si>
  <si>
    <t>ty</t>
  </si>
  <si>
    <t>ytry</t>
  </si>
  <si>
    <t>try</t>
  </si>
  <si>
    <t>NO ACTION</t>
  </si>
  <si>
    <t>&lt;!-- FC122_003407 --&gt;</t>
  </si>
  <si>
    <t>This object defines PDP Context data</t>
  </si>
  <si>
    <t>simObs</t>
  </si>
  <si>
    <t>Note: E.164 defines the number within numbering plan for global title routing/address
                  Only Country Code (1-3 digits) is mandatory
            Length Range: 1..15</t>
  </si>
  <si>
    <t>Value range:0..2147483647</t>
  </si>
  <si>
    <t>Note: E.164 defines the number within numbering plan for global title routing/address
            Length Range: 1..15</t>
  </si>
  <si>
    <t>teste12</t>
  </si>
  <si>
    <t>allPlmn;
homePlmn; 
noWhere; 
visitedPlmn</t>
  </si>
  <si>
    <t>Numeric: 1…254</t>
  </si>
  <si>
    <t>Test2</t>
  </si>
  <si>
    <t>Test3</t>
  </si>
  <si>
    <t>Valid range for this integer
parameter is between 0 and
64800.</t>
  </si>
  <si>
    <t>Valid range for this integer
parameter is between 0 and 254</t>
  </si>
  <si>
    <t xml:space="preserve">       #############################</t>
  </si>
  <si>
    <t xml:space="preserve">               LOG ERRORS FOUND </t>
  </si>
  <si>
    <t>halfRate</t>
  </si>
  <si>
    <t>FraudObservation</t>
  </si>
  <si>
    <t>speech</t>
  </si>
  <si>
    <t>CONTINUE = false
RELEASE = true</t>
  </si>
  <si>
    <t xml:space="preserve">   ----------------------------------</t>
  </si>
  <si>
    <t xml:space="preserve">   Validation for Sheet =&gt;&gt; MtSmsCsi</t>
  </si>
  <si>
    <t xml:space="preserve">   Validation for Sheet =&gt;&gt; MultipleSubscriberProfiles</t>
  </si>
  <si>
    <t xml:space="preserve">   Validation for Sheet =&gt;&gt; UCsiExt</t>
  </si>
  <si>
    <t xml:space="preserve">   Validation for Sheet =&gt;&gt; TICK</t>
  </si>
  <si>
    <t xml:space="preserve">   Validation for Sheet =&gt;&gt; RoamSubscriptionInfo</t>
  </si>
  <si>
    <t>Group of subscribers &amp; Lower Bound</t>
  </si>
  <si>
    <t>Nokia Object Name</t>
  </si>
  <si>
    <t>Falu Object Name</t>
  </si>
  <si>
    <t>Nokia Attribute Name</t>
  </si>
  <si>
    <t>Mapping Required</t>
  </si>
  <si>
    <t xml:space="preserve"> fALU Attribute name</t>
  </si>
  <si>
    <t>Character No.</t>
  </si>
  <si>
    <t>fALU Attribute Value</t>
  </si>
  <si>
    <t>Nokia  attribute Value</t>
  </si>
  <si>
    <t>Yes</t>
  </si>
  <si>
    <t>ServiceCodeMnemonic</t>
  </si>
  <si>
    <t>&lt;STRING&gt;</t>
  </si>
  <si>
    <t>gsmBearerCapabilityData</t>
  </si>
  <si>
    <t>3,4</t>
  </si>
  <si>
    <t>A0</t>
  </si>
  <si>
    <t>A7</t>
  </si>
  <si>
    <t>fullRate</t>
  </si>
  <si>
    <t>A3</t>
  </si>
  <si>
    <t>fullrate</t>
  </si>
  <si>
    <t>C2</t>
  </si>
  <si>
    <t>dualfullrate</t>
  </si>
  <si>
    <t>C1</t>
  </si>
  <si>
    <t>A2</t>
  </si>
  <si>
    <t>A1</t>
  </si>
  <si>
    <t>A5</t>
  </si>
  <si>
    <t>NO</t>
  </si>
  <si>
    <t>alternateSpeechFax3</t>
  </si>
  <si>
    <t>fax3</t>
  </si>
  <si>
    <t>audio</t>
  </si>
  <si>
    <t>???</t>
  </si>
  <si>
    <t>31,32</t>
  </si>
  <si>
    <t>v100X30</t>
  </si>
  <si>
    <t>x31FlagStuffing</t>
  </si>
  <si>
    <t>h223H245</t>
  </si>
  <si>
    <t>37,38</t>
  </si>
  <si>
    <t>??</t>
  </si>
  <si>
    <t>C</t>
  </si>
  <si>
    <t>D</t>
  </si>
  <si>
    <t>1.2</t>
  </si>
  <si>
    <t>2.4</t>
  </si>
  <si>
    <t>4.8</t>
  </si>
  <si>
    <t>E</t>
  </si>
  <si>
    <t>No</t>
  </si>
  <si>
    <t>0</t>
  </si>
  <si>
    <t>odd</t>
  </si>
  <si>
    <t>even</t>
  </si>
  <si>
    <t>none</t>
  </si>
  <si>
    <t>forcedTo0</t>
  </si>
  <si>
    <t>5</t>
  </si>
  <si>
    <t>forcedTo1</t>
  </si>
  <si>
    <t>bothNonTransparentPreffered</t>
  </si>
  <si>
    <t>A</t>
  </si>
  <si>
    <t>nonTransparent</t>
  </si>
  <si>
    <t>8</t>
  </si>
  <si>
    <t>transparent</t>
  </si>
  <si>
    <t>1</t>
  </si>
  <si>
    <t>v21</t>
  </si>
  <si>
    <t>v22</t>
  </si>
  <si>
    <t>v22Bis</t>
  </si>
  <si>
    <t>6</t>
  </si>
  <si>
    <t>v32</t>
  </si>
  <si>
    <t>autobaudingType1</t>
  </si>
  <si>
    <t>Tcsi</t>
  </si>
  <si>
    <t>tcsiCamelGmscNotSuppDfltHandl</t>
  </si>
  <si>
    <t>CONT</t>
  </si>
  <si>
    <t>noReplaceReq</t>
  </si>
  <si>
    <t>REL</t>
  </si>
  <si>
    <t>repByBAIC</t>
  </si>
  <si>
    <t>tcsiCamelCapabilityHandling</t>
  </si>
  <si>
    <t>PH1</t>
  </si>
  <si>
    <t>PH2</t>
  </si>
  <si>
    <t>PH3</t>
  </si>
  <si>
    <t>camelLocationRequestFlag</t>
  </si>
  <si>
    <t>camelStatusRequestFlag</t>
  </si>
  <si>
    <t>tcsiTermAttemptTdpScpIsdn</t>
  </si>
  <si>
    <t>&lt;Integer&gt;</t>
  </si>
  <si>
    <t>tcsiTermAttemptTdpServKey</t>
  </si>
  <si>
    <t>tcsiTermAttemptTdpDfltCalH</t>
  </si>
  <si>
    <t>Ocsi</t>
  </si>
  <si>
    <t>ocsiCamelCapabilityHandling</t>
  </si>
  <si>
    <t>ocsiCamelVlrNotSuppDfltHandl</t>
  </si>
  <si>
    <t>IBOIC</t>
  </si>
  <si>
    <t>barringOfOutgoingCalls</t>
  </si>
  <si>
    <t>IBAOC</t>
  </si>
  <si>
    <t>IBOICEH</t>
  </si>
  <si>
    <t>BOICEH</t>
  </si>
  <si>
    <t>ocsiCamelGmscNotSuppDfltHdl</t>
  </si>
  <si>
    <t>notMapped</t>
  </si>
  <si>
    <t>clear selection</t>
  </si>
  <si>
    <t>ocsiCollectedInfoTdpScpIsdn</t>
  </si>
  <si>
    <t>ocsiCollectedInfoTdpServKey</t>
  </si>
  <si>
    <t>ocsiCollectedInfoTdpDfltCalH</t>
  </si>
  <si>
    <t xml:space="preserve">true     </t>
  </si>
  <si>
    <t xml:space="preserve">false </t>
  </si>
  <si>
    <t>callTypeCriteria</t>
  </si>
  <si>
    <t>ALL</t>
  </si>
  <si>
    <t>strlen:
1..10 characters</t>
  </si>
  <si>
    <t>list:
halfRate
fullRate
dualHalfRate
dualFullRate</t>
  </si>
  <si>
    <t>list:
circuitMode
packetMode</t>
  </si>
  <si>
    <t>list:
speech
audio
unrestrictedDigital
fax3
alternateSpeechFax3</t>
  </si>
  <si>
    <t>list:
sduIntegrity
unstructured</t>
  </si>
  <si>
    <t>list:
no
v100X30
x31FlagStuffing
h223H245</t>
  </si>
  <si>
    <t>list:
i440
x21
x28DedicatedPadIndividual
x28DedicatedPadUniversal
x28NonDedicatedPad
x32</t>
  </si>
  <si>
    <t>list:
x25
ia5
x75
vtx1
fax3
vtx3</t>
  </si>
  <si>
    <t>list:
true
false</t>
  </si>
  <si>
    <t>list:
7
8</t>
  </si>
  <si>
    <t>list:
1
2</t>
  </si>
  <si>
    <t>list:
0.3
1.2
2.4
4.8
9.6
12
1.2/75bit/s</t>
  </si>
  <si>
    <t>list:
4
8
16</t>
  </si>
  <si>
    <t>list:
odd
even
none
forcedTo0
forcedTo1</t>
  </si>
  <si>
    <t>list:
transparent
nonTransparent
bothTransparentPreffered
bothNonTransparentPreffered</t>
  </si>
  <si>
    <t>list:
none
v21
v22
v22Bis
v23
v26Ter
v32
undefined
autobaudingType1</t>
  </si>
  <si>
    <t>list:
none
9.6
14.4
19.2
28.8
38.4
48
56
64</t>
  </si>
  <si>
    <t>DataStartRow</t>
  </si>
  <si>
    <t>ValidationRow</t>
  </si>
  <si>
    <t>AttributeRow</t>
  </si>
  <si>
    <t>list:
ADD
DELETE
MODIFY
NO ACTION</t>
  </si>
  <si>
    <t>HlrContractData</t>
  </si>
  <si>
    <t>SPMLAttribute</t>
  </si>
  <si>
    <t>Input File</t>
  </si>
  <si>
    <t>PH1,PH2</t>
  </si>
  <si>
    <t>1,2</t>
  </si>
  <si>
    <t>PH1,PH2,PH3</t>
  </si>
  <si>
    <t>PH2,PH1</t>
  </si>
  <si>
    <t>2,1</t>
  </si>
  <si>
    <t>list:
Aceptable Values</t>
  </si>
  <si>
    <t>list:
roamingRestrictions barringOfOutgoingCalls barringOfOutgoingCallsExceptTS22
noReplacement</t>
  </si>
  <si>
    <t>list:
allPlmn; homePlmn; noWhere; visitedPlmn</t>
  </si>
  <si>
    <t>list:
1,2,3,4</t>
  </si>
  <si>
    <t>list:
Integer (1..15)</t>
  </si>
  <si>
    <t>list:
TRUE
FALSE</t>
  </si>
  <si>
    <t>list:
notificationOfSubscriberDataChange
suppressCtcInsideHplmn
suppressCtcOutsideHplmn
suppressSmsInsideHplmn
suppressSmsOutsideHplmn
barringOfPremiumRateCallsInsideHplmn
barringOfPremiumRateCallsOutsideHplmn
barringOfOutgoingCallsExceptTS22
releaseCallOutsideHplmn
reservedOption1..10</t>
  </si>
  <si>
    <t>list:
replaceByBAIC
noReplacement
noOptimalRouting</t>
  </si>
  <si>
    <t>list:
ALLOWED = true
NOT ALLOWED = false</t>
  </si>
  <si>
    <t>list:
2
4</t>
  </si>
  <si>
    <t>list:
Note: E.164 defines the number within numbering plan for global title routing/address
                  Only Country Code (1-3 digits) is mandatory
            Length Range: 1..15</t>
  </si>
  <si>
    <t>list:
Value range:0..2147483647</t>
  </si>
  <si>
    <t>list:
CONTINUE = false
RELEASE = true</t>
  </si>
  <si>
    <t>list:
Length Range: 1..15</t>
  </si>
  <si>
    <t>list:
International
Unknown</t>
  </si>
  <si>
    <t>GsmServiceProfile</t>
  </si>
  <si>
    <t>list:
notificationOfSubscriberDataChange
sendVlrisdInsideHplmn 
sendVlrisdOutsideHplmn 
suppressTcsiForCfuOrCfnrc 
suppressTcsiForCfuOrViolation 
suppressTcsiForVtcsi 
suppressCfuCheck 
reduceBarringCheckPriority
reservedOption1..10</t>
  </si>
  <si>
    <t>list:
12
13
14</t>
  </si>
  <si>
    <t xml:space="preserve">TRUE     </t>
  </si>
  <si>
    <t xml:space="preserve">FALSE </t>
  </si>
  <si>
    <t>fALU Object Name</t>
  </si>
  <si>
    <t>PacketDataProtocolProfile</t>
  </si>
  <si>
    <t>priorityOfUmtsBearer</t>
  </si>
  <si>
    <t>ALPRIO1</t>
  </si>
  <si>
    <t>ALPRIO2</t>
  </si>
  <si>
    <t>ALPRIO3</t>
  </si>
  <si>
    <t>DEL1</t>
  </si>
  <si>
    <t>low</t>
  </si>
  <si>
    <t>DEL2</t>
  </si>
  <si>
    <t>DEL3</t>
  </si>
  <si>
    <t>high</t>
  </si>
  <si>
    <t>DEL4</t>
  </si>
  <si>
    <t>REL1</t>
  </si>
  <si>
    <t xml:space="preserve"> nonRealTimeCanNotCopeWithDataLoss</t>
  </si>
  <si>
    <t>REL2</t>
  </si>
  <si>
    <t xml:space="preserve"> nonRealTimeCanCopeWithInfrequentDataLoss</t>
  </si>
  <si>
    <t>REL3</t>
  </si>
  <si>
    <t xml:space="preserve"> nonRealTimeCanCopeWithDataLoss</t>
  </si>
  <si>
    <t>REL4</t>
  </si>
  <si>
    <t xml:space="preserve"> realTimeErrorSensitive</t>
  </si>
  <si>
    <t>REL5</t>
  </si>
  <si>
    <t xml:space="preserve"> realTimeErrorNonSensitive</t>
  </si>
  <si>
    <t>peakThroughPutClass</t>
  </si>
  <si>
    <t>PEAK1</t>
  </si>
  <si>
    <t>PEAK2</t>
  </si>
  <si>
    <t>PEAK3</t>
  </si>
  <si>
    <t>PEAK4</t>
  </si>
  <si>
    <t>PEAK5</t>
  </si>
  <si>
    <t>PEAK6</t>
  </si>
  <si>
    <t>PEAK7</t>
  </si>
  <si>
    <t>PEAK8</t>
  </si>
  <si>
    <t>PEAK9</t>
  </si>
  <si>
    <t>meanThroughPutClass</t>
  </si>
  <si>
    <t>MEAN1</t>
  </si>
  <si>
    <t>MEAN2</t>
  </si>
  <si>
    <t>MEAN3</t>
  </si>
  <si>
    <t>MEAN4</t>
  </si>
  <si>
    <t>MEAN5</t>
  </si>
  <si>
    <t>MEAN6</t>
  </si>
  <si>
    <t>MEAN7</t>
  </si>
  <si>
    <t>MEAN8</t>
  </si>
  <si>
    <t>MEAN9</t>
  </si>
  <si>
    <t>MEAN10</t>
  </si>
  <si>
    <t>MEAN11</t>
  </si>
  <si>
    <t>MEAN12</t>
  </si>
  <si>
    <t xml:space="preserve"> 1k</t>
  </si>
  <si>
    <t>MEAN13</t>
  </si>
  <si>
    <t xml:space="preserve"> 2k</t>
  </si>
  <si>
    <t>MEAN14</t>
  </si>
  <si>
    <t xml:space="preserve"> 4k</t>
  </si>
  <si>
    <t>MEAN15</t>
  </si>
  <si>
    <t xml:space="preserve"> 11k</t>
  </si>
  <si>
    <t>MEAN16</t>
  </si>
  <si>
    <t xml:space="preserve"> 22k</t>
  </si>
  <si>
    <t>MEAN17</t>
  </si>
  <si>
    <t xml:space="preserve"> 44k</t>
  </si>
  <si>
    <t>MEAN18</t>
  </si>
  <si>
    <t xml:space="preserve"> 111k</t>
  </si>
  <si>
    <t>MEAN31</t>
  </si>
  <si>
    <t xml:space="preserve"> bestEffort</t>
  </si>
  <si>
    <t>CONVERS</t>
  </si>
  <si>
    <t xml:space="preserve"> conversational</t>
  </si>
  <si>
    <t>STREAM</t>
  </si>
  <si>
    <t xml:space="preserve"> streaming</t>
  </si>
  <si>
    <t>INTERACT</t>
  </si>
  <si>
    <t xml:space="preserve"> interactive</t>
  </si>
  <si>
    <t>BACKGRD</t>
  </si>
  <si>
    <t xml:space="preserve"> background</t>
  </si>
  <si>
    <t>YES</t>
  </si>
  <si>
    <t>deliveryOfErroneousSdu</t>
  </si>
  <si>
    <t>NOTDETECT</t>
  </si>
  <si>
    <t>delivered</t>
  </si>
  <si>
    <t>maxSduSize</t>
  </si>
  <si>
    <t>uplinkMaxBR</t>
  </si>
  <si>
    <t>handler:get_QOS_extendedMaximumBitRateForUpLink_fromFalu(uplinkMaxBR, f_gprs_102,hSUPAflag)</t>
  </si>
  <si>
    <t>&lt;integer&gt;</t>
  </si>
  <si>
    <t>handler:get_QOS_maximumBitRateForUplink_fromFalu(uplinkMaxBR,f_gprs_102,hSUPAflag)</t>
  </si>
  <si>
    <t>downlinkMaxBR</t>
  </si>
  <si>
    <t>handler:get_QOS_maximumBitRateForDownlink_fromFalu(downlinkMaxBR,f_gprs_100,hSDPAflag)</t>
  </si>
  <si>
    <t>handler:get_QOS_extendedMaxBitRateForDownlink_fromFalu(downlinkMaxBR,f_gprs_100,hSDPAflag)</t>
  </si>
  <si>
    <t>residualBER</t>
  </si>
  <si>
    <t>BER1</t>
  </si>
  <si>
    <t>5Exp-2</t>
  </si>
  <si>
    <t>BER2</t>
  </si>
  <si>
    <t>1Exp-2</t>
  </si>
  <si>
    <t>BER3</t>
  </si>
  <si>
    <t>5Exp-3</t>
  </si>
  <si>
    <t>BER4</t>
  </si>
  <si>
    <t>4Exp-3</t>
  </si>
  <si>
    <t>BER5</t>
  </si>
  <si>
    <t>1Exp-3</t>
  </si>
  <si>
    <t>BER6</t>
  </si>
  <si>
    <t>BER7</t>
  </si>
  <si>
    <t>1Exp-5</t>
  </si>
  <si>
    <t>BER8</t>
  </si>
  <si>
    <t>1Exp-6</t>
  </si>
  <si>
    <t>BER9</t>
  </si>
  <si>
    <t>6Exp-8</t>
  </si>
  <si>
    <t>ratioSduError</t>
  </si>
  <si>
    <t>SER1</t>
  </si>
  <si>
    <t>SER2</t>
  </si>
  <si>
    <t>7Exp-3</t>
  </si>
  <si>
    <t>SER3</t>
  </si>
  <si>
    <t>SER4</t>
  </si>
  <si>
    <t>SER5</t>
  </si>
  <si>
    <t>SER6</t>
  </si>
  <si>
    <t>SER7</t>
  </si>
  <si>
    <t>1Exp-1</t>
  </si>
  <si>
    <t>handler:get_QOS_TransferDelay_fromFalu(transferDelay)</t>
  </si>
  <si>
    <t>- h'01 to h'0F   from 10 to 150ms in 10ms increments
- h'10 to h'1F   from 200 to 950ms in 50ms increments
- h'20 to h'3E   from 1000 to 4000ms in 100 ms increments&lt;/description&gt;</t>
  </si>
  <si>
    <t>TRPRIO1</t>
  </si>
  <si>
    <t>priority1</t>
  </si>
  <si>
    <t>TRPRIO2</t>
  </si>
  <si>
    <t>priority2</t>
  </si>
  <si>
    <t>TRPRIO3</t>
  </si>
  <si>
    <t>uplinkGuaranteedBR</t>
  </si>
  <si>
    <t>handler:get_QOS_guranteedBitRateForUplink_fromFalu(uplinkGuaranteedBR,f_gprs_102,hSUPAguaranteeFlag)</t>
  </si>
  <si>
    <t>downlinkGuaranteedBR</t>
  </si>
  <si>
    <t>handler:get_QOS_guranteedBitRateForDownlink_fromFalu(downlinkGuaranteedBR,f_gprs_100,hSDPAguaranteeFlag)</t>
  </si>
  <si>
    <t>handler:get_QOS_extendedGuranteedBitRateForDownlink_fromFalu(downlinkGuaranteedBR,f_gprs_100,hSDPAguaranteeFlag)</t>
  </si>
  <si>
    <t>handler:get_QOS_extendedGuranteedBitRateForUplink_fromFalu(uplinkGuaranteedBR,f_gprs_102,hSUPAguaranteeFlag)</t>
  </si>
  <si>
    <t>Range:
 0..255</t>
  </si>
  <si>
    <t>list:
low
normal  
high
bestEffort</t>
  </si>
  <si>
    <t>list:
nonRealTimeCanNotCopeWithDataLoss
nonRealTimeCanCopeWithInfrequentDataLoss
nonRealTimeCanCopeWithDataLoss
realTimeErrorSensitive
realTimeErrorNonSensitive</t>
  </si>
  <si>
    <t>list:
8
16
32
64
128
256
512
1024
2048</t>
  </si>
  <si>
    <t>list:
high
normal
low</t>
  </si>
  <si>
    <t>list:
0.22
0.44
1.11
2.2
4.4
11
22
44
111
222
444
1k
2k
4k
11k
22k
44k
111k
bestEffort</t>
  </si>
  <si>
    <t>list:
conversational
streaming
interactive
background</t>
  </si>
  <si>
    <t>list:
notDetected
delivered
notDelivered</t>
  </si>
  <si>
    <t>Values: 
Only steps of 10 are allowed. Above 1500 the values 1502, 1510 and 1520 are allowed only.</t>
  </si>
  <si>
    <t>Values: 
Range of decimal number 1..8640 is allowed.
1   .. 63   : steps of 1
64  .. 568  : steps of 8
576 .. 8640 : steps of 64</t>
  </si>
  <si>
    <t>Range:
 of decimal number allowed:
8700 kbps - 16 Mbps,in steps of 100kbps increments</t>
  </si>
  <si>
    <t>list:
5Exp-2
5Exp-3
4Exp-3
6Exp-8
1Exp-2
1Exp-3
1Exp-4
1Exp-5
1Exp-6</t>
  </si>
  <si>
    <t xml:space="preserve">list:
7Exp-3
1Exp-1
1Exp-2
1Exp-3
1Exp-4
1Exp-5
1Exp-6 </t>
  </si>
  <si>
    <t>Values: 
Range of decimal number 10..4000 is allowed.
10   .. 150  : steps of  10
200  .. 950  : steps of  50
1000 .. 4000 : steps of  100</t>
  </si>
  <si>
    <t>list:
priority1
priority2
priority3</t>
  </si>
  <si>
    <t>Values:
 Range of decimal number 1..8640 is allowed.
1   .. 63   : steps of 1
64  .. 568  : steps of 8
576 .. 8640 : steps of 64</t>
  </si>
  <si>
    <t>Range: 
of decimal number allowed:
8700 kbps - 16 Mbps,in steps of 100kbps increments</t>
  </si>
  <si>
    <t>list:
unknown
speech</t>
  </si>
  <si>
    <t>F_GPRS_100</t>
  </si>
  <si>
    <t>Active</t>
  </si>
  <si>
    <t>F_GPRS_102</t>
  </si>
  <si>
    <t>Inactive</t>
  </si>
  <si>
    <t>Dialed Services CAMEL Subscription Information
This class is only allowed if Camel Phase 3 feature (Refer feature:camelPhase3Flag in CONFIGURATION DATA) is released.</t>
  </si>
  <si>
    <t>PREC3</t>
  </si>
  <si>
    <t>PREC2</t>
  </si>
  <si>
    <t>PREC1</t>
  </si>
  <si>
    <t>handler:get_QOS_maximumDataUnitSize_fromFalu(maxSduSize)</t>
  </si>
  <si>
    <t>globalServiceCode</t>
  </si>
  <si>
    <t>globalUcsiScpAddress</t>
  </si>
  <si>
    <t>handler:get_UGCSI_identifier_fromFalu(globalServiceCode)</t>
  </si>
  <si>
    <t>handler:get_UGCSI_gsmServiceControlFunctionAddress_fromFalu(globalUcsiScpAddress)</t>
  </si>
  <si>
    <t>restrictionListLabel</t>
  </si>
  <si>
    <t>restrictionListCategory</t>
  </si>
  <si>
    <t>PLMNLIST</t>
  </si>
  <si>
    <t>True</t>
  </si>
  <si>
    <t>HPLMN</t>
  </si>
  <si>
    <t>restrictionIsdn</t>
  </si>
  <si>
    <t>list:
noWhere
homePlmn
visitedPlmn
allPlmn</t>
  </si>
  <si>
    <t>list:
roamingRestrictions
noReplacement
suppressMobileOriginatingSms
barringOfOutgoingInternationalSmsExceptToHome</t>
  </si>
  <si>
    <t>list:
3</t>
  </si>
  <si>
    <t>list:
notificationOfSubscriberDataChange
reservedOption1..10</t>
  </si>
  <si>
    <t>list:
noReplacement
suppressMobileOriginatingSms
barringOfOutgoingInternationalSmsExceptToHome</t>
  </si>
  <si>
    <t>list:
2</t>
  </si>
  <si>
    <t>RoamingRestrictionType</t>
  </si>
  <si>
    <t>&lt;string&gt;</t>
  </si>
  <si>
    <t>smocsiCamelCapabilityHandling</t>
  </si>
  <si>
    <t>smocsiCollectedInfoTdpScpIsdn</t>
  </si>
  <si>
    <t>smocsiCollectedInfoTdpServKey</t>
  </si>
  <si>
    <t>smocsiCollectedInfoTdpDfltCalH</t>
  </si>
  <si>
    <t>Map</t>
  </si>
  <si>
    <t>vplmnAddressAllowedFlag</t>
  </si>
  <si>
    <t>ALLPLMN</t>
  </si>
  <si>
    <t>accessPointName</t>
  </si>
  <si>
    <t>pdpType</t>
  </si>
  <si>
    <t>X25</t>
  </si>
  <si>
    <t>IPV4</t>
  </si>
  <si>
    <t>PPP</t>
  </si>
  <si>
    <t>NA</t>
  </si>
  <si>
    <t>IPV6</t>
  </si>
  <si>
    <t>pdpChargingCharacteristic</t>
  </si>
  <si>
    <t>HB</t>
  </si>
  <si>
    <t>FLATRATE</t>
  </si>
  <si>
    <t>PREPAID</t>
  </si>
  <si>
    <t>NORMAL</t>
  </si>
  <si>
    <t>list:
Int:
1 - X.25
2 - IPV4
3 - PPP POINT TO POINT PROTOCOL
4 - IPV6 ADDRESS
Default is 2</t>
  </si>
  <si>
    <t>list:
string</t>
  </si>
  <si>
    <t xml:space="preserve">
list:
HPLMN
ALLPLMN</t>
  </si>
  <si>
    <t>list:
Int (0..15)</t>
  </si>
  <si>
    <t>list:
int (0..4095)</t>
  </si>
  <si>
    <t>list:
int. takes only
value 5
5 – IPV4V6</t>
  </si>
  <si>
    <t xml:space="preserve">
Value Range: 0..999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</si>
</sst>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Nokia Pure Text Light"/>
      <family val="2"/>
    </font>
    <font>
      <b/>
      <sz val="11"/>
      <color theme="1"/>
      <name val="Nokia Pure Text Light"/>
      <family val="2"/>
    </font>
    <font>
      <sz val="10"/>
      <color theme="1"/>
      <name val="Nokia Pure Text Light"/>
      <family val="2"/>
    </font>
    <font>
      <b/>
      <sz val="10"/>
      <name val="Nokia Pure Text Light"/>
      <family val="2"/>
    </font>
    <font>
      <sz val="10"/>
      <name val="Nokia Pure Text Light"/>
      <family val="2"/>
    </font>
    <font>
      <b/>
      <sz val="11"/>
      <color theme="0"/>
      <name val="Nokia Pure Text Light"/>
      <family val="2"/>
    </font>
    <font>
      <sz val="8"/>
      <color theme="1"/>
      <name val="Nokia Pure Text Light"/>
      <family val="2"/>
    </font>
    <font>
      <u/>
      <sz val="11"/>
      <color theme="10"/>
      <name val="Calibri"/>
      <family val="2"/>
      <scheme val="minor"/>
    </font>
    <font>
      <sz val="10"/>
      <name val="Calibri"/>
      <family val="2"/>
      <charset val="204"/>
    </font>
    <font>
      <b/>
      <sz val="9"/>
      <color theme="0"/>
      <name val="Nokia Pure Text Light"/>
      <family val="2"/>
    </font>
    <font>
      <sz val="9"/>
      <color theme="1"/>
      <name val="Nokia Pure Text Light"/>
      <family val="2"/>
    </font>
    <font>
      <b/>
      <sz val="9"/>
      <color indexed="8"/>
      <name val="Calibri"/>
      <family val="2"/>
    </font>
    <font>
      <b/>
      <sz val="9"/>
      <color indexed="8"/>
      <name val="Nokia Pure Text Light"/>
      <family val="2"/>
    </font>
    <font>
      <sz val="8"/>
      <name val="Nokia Pure Text"/>
      <family val="2"/>
    </font>
    <font>
      <sz val="8"/>
      <color theme="1"/>
      <name val="Nokia Pure Text"/>
      <family val="2"/>
    </font>
    <font>
      <b/>
      <u val="doubleAccounting"/>
      <sz val="12"/>
      <color theme="0"/>
      <name val="Nokia Pure Text Light"/>
      <family val="2"/>
    </font>
    <font>
      <sz val="8"/>
      <color indexed="8"/>
      <name val="Calibri"/>
      <family val="2"/>
    </font>
    <font>
      <sz val="9"/>
      <color indexed="8"/>
      <name val="Calibri"/>
      <family val="2"/>
    </font>
    <font>
      <sz val="9"/>
      <color indexed="8"/>
      <name val="Nokia Pure Text Light"/>
      <family val="2"/>
    </font>
    <font>
      <b/>
      <sz val="8"/>
      <color theme="0"/>
      <name val="Calibri"/>
      <family val="2"/>
    </font>
    <font>
      <sz val="9"/>
      <color theme="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name val="Nokia Pure Text Light"/>
      <family val="2"/>
    </font>
    <font>
      <sz val="10"/>
      <name val="Arial"/>
      <family val="2"/>
    </font>
    <font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theme="1"/>
      <name val="Nokia Pure Text Light"/>
      <family val="2"/>
    </font>
    <font>
      <b/>
      <sz val="8"/>
      <color theme="0"/>
      <name val="Nokia Pure Text Light"/>
      <family val="2"/>
    </font>
    <font>
      <sz val="9"/>
      <color theme="1"/>
      <name val="Calibri"/>
      <family val="2"/>
      <scheme val="minor"/>
    </font>
    <font>
      <sz val="9"/>
      <color rgb="FF000000"/>
      <name val="Helvetica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3EBF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tted">
        <color auto="1"/>
      </left>
      <right style="thin">
        <color indexed="64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thin">
        <color indexed="64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indexed="64"/>
      </right>
      <top style="dotted">
        <color auto="1"/>
      </top>
      <bottom style="thin">
        <color indexed="64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27" fillId="0" borderId="0"/>
  </cellStyleXfs>
  <cellXfs count="382">
    <xf numFmtId="0" fontId="0" fillId="0" borderId="0" xfId="0"/>
    <xf numFmtId="0" fontId="1" fillId="0" borderId="0" xfId="0" applyFont="1" applyBorder="1"/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applyFont="1" applyFill="1"/>
    <xf numFmtId="0" fontId="4" fillId="2" borderId="4" xfId="0" applyFont="1" applyFill="1" applyBorder="1" applyAlignment="1">
      <alignment horizontal="center" vertical="top"/>
    </xf>
    <xf numFmtId="49" fontId="5" fillId="2" borderId="4" xfId="0" applyNumberFormat="1" applyFont="1" applyFill="1" applyBorder="1" applyAlignment="1">
      <alignment horizontal="center"/>
    </xf>
    <xf numFmtId="0" fontId="5" fillId="2" borderId="4" xfId="0" applyFont="1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0" borderId="0" xfId="0" applyFont="1"/>
    <xf numFmtId="0" fontId="1" fillId="0" borderId="0" xfId="0" applyFont="1" applyAlignment="1">
      <alignment vertical="center"/>
    </xf>
    <xf numFmtId="0" fontId="6" fillId="4" borderId="4" xfId="0" applyFont="1" applyFill="1" applyBorder="1" applyAlignment="1">
      <alignment horizontal="center"/>
    </xf>
    <xf numFmtId="0" fontId="7" fillId="0" borderId="4" xfId="0" applyFont="1" applyBorder="1" applyAlignment="1">
      <alignment vertical="center" wrapText="1"/>
    </xf>
    <xf numFmtId="14" fontId="1" fillId="3" borderId="0" xfId="0" applyNumberFormat="1" applyFont="1" applyFill="1" applyAlignment="1">
      <alignment horizontal="left"/>
    </xf>
    <xf numFmtId="14" fontId="5" fillId="2" borderId="4" xfId="0" applyNumberFormat="1" applyFont="1" applyFill="1" applyBorder="1"/>
    <xf numFmtId="0" fontId="8" fillId="0" borderId="4" xfId="1" applyFill="1" applyBorder="1" applyAlignment="1" applyProtection="1">
      <alignment horizontal="left"/>
    </xf>
    <xf numFmtId="0" fontId="9" fillId="0" borderId="0" xfId="0" applyFont="1" applyAlignment="1">
      <alignment wrapText="1"/>
    </xf>
    <xf numFmtId="0" fontId="16" fillId="6" borderId="4" xfId="1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0" fillId="4" borderId="4" xfId="0" applyFont="1" applyFill="1" applyBorder="1" applyAlignment="1">
      <alignment horizontal="left" wrapText="1"/>
    </xf>
    <xf numFmtId="0" fontId="14" fillId="5" borderId="4" xfId="0" applyNumberFormat="1" applyFont="1" applyFill="1" applyBorder="1" applyAlignment="1">
      <alignment horizontal="left" wrapText="1"/>
    </xf>
    <xf numFmtId="0" fontId="15" fillId="0" borderId="0" xfId="0" applyFont="1" applyAlignment="1">
      <alignment horizontal="left" wrapText="1"/>
    </xf>
    <xf numFmtId="0" fontId="17" fillId="0" borderId="0" xfId="0" applyFont="1"/>
    <xf numFmtId="0" fontId="17" fillId="7" borderId="5" xfId="0" applyFont="1" applyFill="1" applyBorder="1"/>
    <xf numFmtId="0" fontId="0" fillId="8" borderId="0" xfId="0" applyFill="1"/>
    <xf numFmtId="0" fontId="18" fillId="8" borderId="4" xfId="0" applyFont="1" applyFill="1" applyBorder="1" applyAlignment="1">
      <alignment horizontal="left" wrapText="1"/>
    </xf>
    <xf numFmtId="0" fontId="21" fillId="4" borderId="4" xfId="0" applyFont="1" applyFill="1" applyBorder="1" applyAlignment="1">
      <alignment horizontal="left" wrapText="1"/>
    </xf>
    <xf numFmtId="0" fontId="12" fillId="8" borderId="4" xfId="0" applyFont="1" applyFill="1" applyBorder="1" applyAlignment="1">
      <alignment horizontal="left" wrapText="1"/>
    </xf>
    <xf numFmtId="0" fontId="13" fillId="8" borderId="4" xfId="0" applyFont="1" applyFill="1" applyBorder="1" applyAlignment="1">
      <alignment horizontal="left" wrapText="1"/>
    </xf>
    <xf numFmtId="0" fontId="19" fillId="8" borderId="4" xfId="0" applyFont="1" applyFill="1" applyBorder="1" applyAlignment="1">
      <alignment horizontal="left" wrapText="1"/>
    </xf>
    <xf numFmtId="0" fontId="11" fillId="7" borderId="4" xfId="0" applyFont="1" applyFill="1" applyBorder="1" applyAlignment="1">
      <alignment horizontal="left" wrapText="1"/>
    </xf>
    <xf numFmtId="0" fontId="20" fillId="9" borderId="6" xfId="0" applyFont="1" applyFill="1" applyBorder="1"/>
    <xf numFmtId="0" fontId="13" fillId="10" borderId="4" xfId="0" applyFont="1" applyFill="1" applyBorder="1" applyAlignment="1">
      <alignment horizontal="left" wrapText="1"/>
    </xf>
    <xf numFmtId="0" fontId="18" fillId="10" borderId="4" xfId="0" applyFont="1" applyFill="1" applyBorder="1" applyAlignment="1">
      <alignment horizontal="left" wrapText="1"/>
    </xf>
    <xf numFmtId="49" fontId="17" fillId="7" borderId="5" xfId="0" quotePrefix="1" applyNumberFormat="1" applyFont="1" applyFill="1" applyBorder="1"/>
    <xf numFmtId="49" fontId="17" fillId="7" borderId="5" xfId="0" applyNumberFormat="1" applyFont="1" applyFill="1" applyBorder="1"/>
    <xf numFmtId="49" fontId="0" fillId="0" borderId="0" xfId="0" applyNumberFormat="1" applyAlignment="1">
      <alignment horizontal="left" wrapText="1"/>
    </xf>
    <xf numFmtId="49" fontId="19" fillId="8" borderId="4" xfId="0" applyNumberFormat="1" applyFont="1" applyFill="1" applyBorder="1" applyAlignment="1">
      <alignment horizontal="left" wrapText="1"/>
    </xf>
    <xf numFmtId="0" fontId="17" fillId="7" borderId="5" xfId="0" applyFont="1" applyFill="1" applyBorder="1" applyAlignment="1">
      <alignment wrapText="1"/>
    </xf>
    <xf numFmtId="0" fontId="12" fillId="8" borderId="4" xfId="0" applyFont="1" applyFill="1" applyBorder="1" applyAlignment="1">
      <alignment horizontal="left" vertical="top" wrapText="1"/>
    </xf>
    <xf numFmtId="0" fontId="13" fillId="8" borderId="4" xfId="0" applyFont="1" applyFill="1" applyBorder="1" applyAlignment="1">
      <alignment horizontal="left" vertical="top" wrapText="1"/>
    </xf>
    <xf numFmtId="0" fontId="13" fillId="8" borderId="4" xfId="0" applyFont="1" applyFill="1" applyBorder="1" applyAlignment="1">
      <alignment wrapText="1"/>
    </xf>
    <xf numFmtId="0" fontId="0" fillId="0" borderId="0" xfId="0" applyAlignment="1">
      <alignment wrapText="1"/>
    </xf>
    <xf numFmtId="0" fontId="7" fillId="0" borderId="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0" fillId="10" borderId="0" xfId="0" applyFill="1" applyAlignment="1">
      <alignment horizontal="left" wrapText="1"/>
    </xf>
    <xf numFmtId="0" fontId="12" fillId="10" borderId="4" xfId="0" applyFont="1" applyFill="1" applyBorder="1" applyAlignment="1">
      <alignment horizontal="left" wrapText="1"/>
    </xf>
    <xf numFmtId="0" fontId="19" fillId="10" borderId="4" xfId="0" applyFont="1" applyFill="1" applyBorder="1" applyAlignment="1">
      <alignment horizontal="left" wrapText="1"/>
    </xf>
    <xf numFmtId="0" fontId="17" fillId="10" borderId="5" xfId="0" applyFont="1" applyFill="1" applyBorder="1"/>
    <xf numFmtId="0" fontId="17" fillId="7" borderId="5" xfId="0" applyNumberFormat="1" applyFont="1" applyFill="1" applyBorder="1"/>
    <xf numFmtId="0" fontId="13" fillId="8" borderId="5" xfId="0" applyFont="1" applyFill="1" applyBorder="1" applyAlignment="1">
      <alignment horizontal="left" wrapText="1"/>
    </xf>
    <xf numFmtId="0" fontId="12" fillId="8" borderId="1" xfId="0" applyFont="1" applyFill="1" applyBorder="1" applyAlignment="1">
      <alignment horizontal="left" wrapText="1"/>
    </xf>
    <xf numFmtId="0" fontId="13" fillId="8" borderId="1" xfId="0" applyFont="1" applyFill="1" applyBorder="1" applyAlignment="1">
      <alignment horizontal="left" wrapText="1"/>
    </xf>
    <xf numFmtId="0" fontId="13" fillId="8" borderId="6" xfId="0" applyFont="1" applyFill="1" applyBorder="1" applyAlignment="1">
      <alignment horizontal="left" wrapText="1"/>
    </xf>
    <xf numFmtId="0" fontId="13" fillId="8" borderId="12" xfId="0" applyFont="1" applyFill="1" applyBorder="1" applyAlignment="1">
      <alignment horizontal="left" wrapText="1"/>
    </xf>
    <xf numFmtId="0" fontId="19" fillId="8" borderId="13" xfId="0" applyFont="1" applyFill="1" applyBorder="1" applyAlignment="1">
      <alignment horizontal="left" wrapText="1"/>
    </xf>
    <xf numFmtId="0" fontId="19" fillId="8" borderId="14" xfId="0" applyFont="1" applyFill="1" applyBorder="1" applyAlignment="1">
      <alignment horizontal="left" wrapText="1"/>
    </xf>
    <xf numFmtId="0" fontId="19" fillId="8" borderId="15" xfId="0" applyFont="1" applyFill="1" applyBorder="1" applyAlignment="1">
      <alignment horizontal="left" wrapText="1"/>
    </xf>
    <xf numFmtId="0" fontId="19" fillId="8" borderId="16" xfId="0" applyFont="1" applyFill="1" applyBorder="1" applyAlignment="1">
      <alignment horizontal="left" wrapText="1"/>
    </xf>
    <xf numFmtId="0" fontId="19" fillId="8" borderId="17" xfId="0" applyFont="1" applyFill="1" applyBorder="1" applyAlignment="1">
      <alignment horizontal="left" wrapText="1"/>
    </xf>
    <xf numFmtId="0" fontId="19" fillId="8" borderId="4" xfId="0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 wrapText="1"/>
    </xf>
    <xf numFmtId="0" fontId="14" fillId="5" borderId="4" xfId="0" applyNumberFormat="1" applyFont="1" applyFill="1" applyBorder="1" applyAlignment="1">
      <alignment horizontal="left" wrapText="1"/>
    </xf>
    <xf numFmtId="0" fontId="17" fillId="7" borderId="5" xfId="0" applyFont="1" applyFill="1" applyBorder="1"/>
    <xf numFmtId="0" fontId="18" fillId="8" borderId="4" xfId="0" applyFont="1" applyFill="1" applyBorder="1" applyAlignment="1">
      <alignment horizontal="left" wrapText="1"/>
    </xf>
    <xf numFmtId="0" fontId="19" fillId="8" borderId="4" xfId="0" applyFont="1" applyFill="1" applyBorder="1" applyAlignment="1">
      <alignment horizontal="left" wrapText="1"/>
    </xf>
    <xf numFmtId="0" fontId="20" fillId="9" borderId="6" xfId="0" applyFont="1" applyFill="1" applyBorder="1"/>
    <xf numFmtId="49" fontId="17" fillId="7" borderId="5" xfId="0" applyNumberFormat="1" applyFont="1" applyFill="1" applyBorder="1"/>
    <xf numFmtId="0" fontId="14" fillId="11" borderId="4" xfId="0" applyNumberFormat="1" applyFont="1" applyFill="1" applyBorder="1" applyAlignment="1">
      <alignment horizontal="left" wrapText="1"/>
    </xf>
    <xf numFmtId="0" fontId="20" fillId="11" borderId="6" xfId="0" applyFont="1" applyFill="1" applyBorder="1"/>
    <xf numFmtId="0" fontId="17" fillId="11" borderId="5" xfId="0" applyFont="1" applyFill="1" applyBorder="1"/>
    <xf numFmtId="49" fontId="17" fillId="11" borderId="5" xfId="0" applyNumberFormat="1" applyFont="1" applyFill="1" applyBorder="1"/>
    <xf numFmtId="0" fontId="14" fillId="12" borderId="4" xfId="0" applyNumberFormat="1" applyFont="1" applyFill="1" applyBorder="1" applyAlignment="1">
      <alignment horizontal="left" wrapText="1"/>
    </xf>
    <xf numFmtId="0" fontId="20" fillId="12" borderId="6" xfId="0" applyFont="1" applyFill="1" applyBorder="1"/>
    <xf numFmtId="49" fontId="17" fillId="12" borderId="5" xfId="0" applyNumberFormat="1" applyFont="1" applyFill="1" applyBorder="1"/>
    <xf numFmtId="0" fontId="15" fillId="12" borderId="0" xfId="0" applyFont="1" applyFill="1" applyAlignment="1">
      <alignment horizontal="left" wrapText="1"/>
    </xf>
    <xf numFmtId="49" fontId="20" fillId="14" borderId="4" xfId="0" applyNumberFormat="1" applyFont="1" applyFill="1" applyBorder="1"/>
    <xf numFmtId="49" fontId="20" fillId="12" borderId="6" xfId="0" applyNumberFormat="1" applyFont="1" applyFill="1" applyBorder="1"/>
    <xf numFmtId="0" fontId="17" fillId="12" borderId="5" xfId="0" applyFont="1" applyFill="1" applyBorder="1"/>
    <xf numFmtId="0" fontId="20" fillId="14" borderId="4" xfId="0" applyNumberFormat="1" applyFont="1" applyFill="1" applyBorder="1"/>
    <xf numFmtId="49" fontId="17" fillId="12" borderId="5" xfId="0" quotePrefix="1" applyNumberFormat="1" applyFont="1" applyFill="1" applyBorder="1"/>
    <xf numFmtId="0" fontId="20" fillId="12" borderId="6" xfId="0" applyNumberFormat="1" applyFont="1" applyFill="1" applyBorder="1"/>
    <xf numFmtId="1" fontId="17" fillId="12" borderId="5" xfId="0" quotePrefix="1" applyNumberFormat="1" applyFont="1" applyFill="1" applyBorder="1"/>
    <xf numFmtId="0" fontId="17" fillId="12" borderId="5" xfId="0" applyNumberFormat="1" applyFont="1" applyFill="1" applyBorder="1"/>
    <xf numFmtId="0" fontId="20" fillId="14" borderId="4" xfId="0" applyFont="1" applyFill="1" applyBorder="1"/>
    <xf numFmtId="0" fontId="17" fillId="13" borderId="4" xfId="0" applyNumberFormat="1" applyFont="1" applyFill="1" applyBorder="1"/>
    <xf numFmtId="0" fontId="24" fillId="13" borderId="4" xfId="0" applyNumberFormat="1" applyFont="1" applyFill="1" applyBorder="1" applyAlignment="1">
      <alignment horizontal="left" wrapText="1"/>
    </xf>
    <xf numFmtId="0" fontId="17" fillId="13" borderId="4" xfId="0" quotePrefix="1" applyNumberFormat="1" applyFont="1" applyFill="1" applyBorder="1"/>
    <xf numFmtId="1" fontId="20" fillId="14" borderId="4" xfId="0" applyNumberFormat="1" applyFont="1" applyFill="1" applyBorder="1"/>
    <xf numFmtId="49" fontId="17" fillId="13" borderId="4" xfId="0" applyNumberFormat="1" applyFont="1" applyFill="1" applyBorder="1"/>
    <xf numFmtId="49" fontId="24" fillId="13" borderId="4" xfId="0" applyNumberFormat="1" applyFont="1" applyFill="1" applyBorder="1" applyAlignment="1">
      <alignment horizontal="left" wrapText="1"/>
    </xf>
    <xf numFmtId="0" fontId="0" fillId="0" borderId="2" xfId="0" applyNumberFormat="1" applyBorder="1"/>
    <xf numFmtId="0" fontId="10" fillId="4" borderId="18" xfId="0" applyFont="1" applyFill="1" applyBorder="1" applyAlignment="1">
      <alignment horizontal="left" wrapText="1"/>
    </xf>
    <xf numFmtId="0" fontId="10" fillId="4" borderId="4" xfId="0" applyNumberFormat="1" applyFont="1" applyFill="1" applyBorder="1" applyAlignment="1">
      <alignment horizontal="left" wrapText="1"/>
    </xf>
    <xf numFmtId="0" fontId="13" fillId="8" borderId="19" xfId="0" applyFont="1" applyFill="1" applyBorder="1" applyAlignment="1">
      <alignment horizontal="left" vertical="center" wrapText="1"/>
    </xf>
    <xf numFmtId="0" fontId="10" fillId="4" borderId="20" xfId="0" applyNumberFormat="1" applyFont="1" applyFill="1" applyBorder="1" applyAlignment="1">
      <alignment horizontal="center" wrapText="1"/>
    </xf>
    <xf numFmtId="0" fontId="17" fillId="13" borderId="19" xfId="0" applyNumberFormat="1" applyFont="1" applyFill="1" applyBorder="1" applyAlignment="1">
      <alignment horizontal="left"/>
    </xf>
    <xf numFmtId="0" fontId="17" fillId="13" borderId="22" xfId="0" applyNumberFormat="1" applyFont="1" applyFill="1" applyBorder="1" applyAlignment="1">
      <alignment horizontal="left"/>
    </xf>
    <xf numFmtId="0" fontId="17" fillId="13" borderId="24" xfId="0" applyNumberFormat="1" applyFont="1" applyFill="1" applyBorder="1" applyAlignment="1">
      <alignment horizontal="left"/>
    </xf>
    <xf numFmtId="0" fontId="17" fillId="13" borderId="25" xfId="0" applyNumberFormat="1" applyFont="1" applyFill="1" applyBorder="1" applyAlignment="1">
      <alignment horizontal="left"/>
    </xf>
    <xf numFmtId="0" fontId="13" fillId="8" borderId="4" xfId="0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10" fillId="4" borderId="2" xfId="0" applyNumberFormat="1" applyFont="1" applyFill="1" applyBorder="1" applyAlignment="1">
      <alignment horizontal="center" wrapText="1"/>
    </xf>
    <xf numFmtId="0" fontId="0" fillId="0" borderId="3" xfId="0" applyBorder="1"/>
    <xf numFmtId="0" fontId="17" fillId="13" borderId="26" xfId="0" applyNumberFormat="1" applyFont="1" applyFill="1" applyBorder="1" applyAlignment="1">
      <alignment horizontal="left"/>
    </xf>
    <xf numFmtId="0" fontId="17" fillId="13" borderId="27" xfId="0" applyNumberFormat="1" applyFont="1" applyFill="1" applyBorder="1" applyAlignment="1">
      <alignment horizontal="left"/>
    </xf>
    <xf numFmtId="0" fontId="17" fillId="13" borderId="28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NumberFormat="1"/>
    <xf numFmtId="0" fontId="10" fillId="4" borderId="19" xfId="0" applyFont="1" applyFill="1" applyBorder="1" applyAlignment="1">
      <alignment horizontal="left" wrapText="1"/>
    </xf>
    <xf numFmtId="0" fontId="10" fillId="4" borderId="19" xfId="0" applyFont="1" applyFill="1" applyBorder="1" applyAlignment="1">
      <alignment horizontal="center" vertical="center" wrapText="1"/>
    </xf>
    <xf numFmtId="0" fontId="10" fillId="4" borderId="19" xfId="0" applyNumberFormat="1" applyFont="1" applyFill="1" applyBorder="1" applyAlignment="1">
      <alignment horizontal="left" wrapText="1"/>
    </xf>
    <xf numFmtId="0" fontId="26" fillId="8" borderId="4" xfId="0" applyFont="1" applyFill="1" applyBorder="1" applyAlignment="1">
      <alignment horizontal="center" vertical="center" wrapText="1"/>
    </xf>
    <xf numFmtId="0" fontId="0" fillId="0" borderId="20" xfId="0" applyBorder="1"/>
    <xf numFmtId="0" fontId="17" fillId="13" borderId="4" xfId="0" applyNumberFormat="1" applyFont="1" applyFill="1" applyBorder="1" applyAlignment="1">
      <alignment horizontal="left"/>
    </xf>
    <xf numFmtId="0" fontId="0" fillId="0" borderId="0" xfId="0" applyBorder="1"/>
    <xf numFmtId="0" fontId="0" fillId="0" borderId="7" xfId="0" applyBorder="1"/>
    <xf numFmtId="0" fontId="26" fillId="8" borderId="18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28" fillId="0" borderId="2" xfId="2" applyFont="1" applyBorder="1" applyAlignment="1">
      <alignment horizontal="left" vertical="top"/>
    </xf>
    <xf numFmtId="0" fontId="25" fillId="15" borderId="2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11" fillId="0" borderId="20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11" fillId="0" borderId="7" xfId="0" applyFon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7" xfId="0" applyBorder="1" applyAlignment="1">
      <alignment horizontal="right"/>
    </xf>
    <xf numFmtId="2" fontId="0" fillId="0" borderId="2" xfId="0" applyNumberFormat="1" applyBorder="1"/>
    <xf numFmtId="0" fontId="0" fillId="0" borderId="0" xfId="0" applyFill="1" applyBorder="1"/>
    <xf numFmtId="0" fontId="6" fillId="4" borderId="4" xfId="0" applyFont="1" applyFill="1" applyBorder="1" applyAlignment="1" applyProtection="1">
      <alignment horizontal="center"/>
      <protection locked="0"/>
    </xf>
    <xf numFmtId="0" fontId="7" fillId="0" borderId="4" xfId="0" applyFont="1" applyBorder="1" applyAlignment="1" applyProtection="1">
      <alignment vertical="center" wrapText="1"/>
      <protection locked="0"/>
    </xf>
    <xf numFmtId="0" fontId="8" fillId="0" borderId="4" xfId="1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8" fillId="0" borderId="4" xfId="1" applyBorder="1" applyAlignment="1">
      <alignment vertical="center" wrapText="1"/>
    </xf>
    <xf numFmtId="0" fontId="17" fillId="13" borderId="5" xfId="0" applyNumberFormat="1" applyFont="1" applyFill="1" applyBorder="1" applyAlignment="1">
      <alignment horizontal="left"/>
    </xf>
    <xf numFmtId="0" fontId="17" fillId="13" borderId="33" xfId="0" applyNumberFormat="1" applyFont="1" applyFill="1" applyBorder="1" applyAlignment="1">
      <alignment horizontal="left"/>
    </xf>
    <xf numFmtId="0" fontId="17" fillId="13" borderId="34" xfId="0" applyNumberFormat="1" applyFont="1" applyFill="1" applyBorder="1" applyAlignment="1">
      <alignment horizontal="left"/>
    </xf>
    <xf numFmtId="0" fontId="17" fillId="13" borderId="35" xfId="0" applyNumberFormat="1" applyFont="1" applyFill="1" applyBorder="1" applyAlignment="1">
      <alignment horizontal="left"/>
    </xf>
    <xf numFmtId="0" fontId="11" fillId="0" borderId="36" xfId="0" applyFont="1" applyBorder="1" applyAlignment="1">
      <alignment horizontal="right"/>
    </xf>
    <xf numFmtId="0" fontId="11" fillId="0" borderId="37" xfId="0" applyFont="1" applyBorder="1" applyAlignment="1">
      <alignment horizontal="right"/>
    </xf>
    <xf numFmtId="0" fontId="11" fillId="0" borderId="38" xfId="0" applyFont="1" applyBorder="1" applyAlignment="1">
      <alignment horizontal="right"/>
    </xf>
    <xf numFmtId="2" fontId="10" fillId="4" borderId="19" xfId="0" applyNumberFormat="1" applyFont="1" applyFill="1" applyBorder="1" applyAlignment="1">
      <alignment horizontal="left" wrapText="1"/>
    </xf>
    <xf numFmtId="0" fontId="10" fillId="4" borderId="4" xfId="0" applyNumberFormat="1" applyFont="1" applyFill="1" applyBorder="1" applyAlignment="1">
      <alignment horizontal="center" wrapText="1"/>
    </xf>
    <xf numFmtId="0" fontId="0" fillId="0" borderId="4" xfId="0" applyBorder="1" applyAlignment="1">
      <alignment horizontal="center" vertical="center" wrapText="1"/>
    </xf>
    <xf numFmtId="0" fontId="0" fillId="15" borderId="4" xfId="0" applyFill="1" applyBorder="1"/>
    <xf numFmtId="0" fontId="25" fillId="15" borderId="4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6" fillId="8" borderId="4" xfId="0" applyFont="1" applyFill="1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25" fillId="15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 wrapText="1"/>
    </xf>
    <xf numFmtId="0" fontId="28" fillId="0" borderId="7" xfId="2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7" fillId="13" borderId="39" xfId="0" applyNumberFormat="1" applyFont="1" applyFill="1" applyBorder="1" applyAlignment="1">
      <alignment horizontal="left"/>
    </xf>
    <xf numFmtId="49" fontId="10" fillId="4" borderId="4" xfId="0" applyNumberFormat="1" applyFont="1" applyFill="1" applyBorder="1" applyAlignment="1">
      <alignment horizontal="left" wrapText="1"/>
    </xf>
    <xf numFmtId="49" fontId="11" fillId="7" borderId="4" xfId="0" applyNumberFormat="1" applyFont="1" applyFill="1" applyBorder="1" applyAlignment="1">
      <alignment horizontal="left" wrapText="1"/>
    </xf>
    <xf numFmtId="49" fontId="11" fillId="0" borderId="2" xfId="0" applyNumberFormat="1" applyFont="1" applyBorder="1" applyAlignment="1">
      <alignment horizontal="center"/>
    </xf>
    <xf numFmtId="49" fontId="11" fillId="0" borderId="0" xfId="0" applyNumberFormat="1" applyFont="1"/>
    <xf numFmtId="49" fontId="10" fillId="4" borderId="18" xfId="0" applyNumberFormat="1" applyFont="1" applyFill="1" applyBorder="1" applyAlignment="1">
      <alignment horizontal="left" wrapText="1"/>
    </xf>
    <xf numFmtId="49" fontId="10" fillId="4" borderId="4" xfId="0" applyNumberFormat="1" applyFont="1" applyFill="1" applyBorder="1" applyAlignment="1">
      <alignment horizontal="center" wrapText="1"/>
    </xf>
    <xf numFmtId="49" fontId="26" fillId="8" borderId="19" xfId="0" applyNumberFormat="1" applyFont="1" applyFill="1" applyBorder="1" applyAlignment="1">
      <alignment horizontal="center" vertical="center" wrapText="1"/>
    </xf>
    <xf numFmtId="49" fontId="11" fillId="0" borderId="19" xfId="0" applyNumberFormat="1" applyFont="1" applyBorder="1" applyAlignment="1">
      <alignment horizontal="center" vertical="center"/>
    </xf>
    <xf numFmtId="49" fontId="11" fillId="0" borderId="0" xfId="0" applyNumberFormat="1" applyFont="1" applyAlignment="1">
      <alignment horizontal="center"/>
    </xf>
    <xf numFmtId="49" fontId="19" fillId="16" borderId="19" xfId="0" applyNumberFormat="1" applyFont="1" applyFill="1" applyBorder="1" applyAlignment="1">
      <alignment horizontal="right"/>
    </xf>
    <xf numFmtId="49" fontId="19" fillId="16" borderId="19" xfId="0" applyNumberFormat="1" applyFont="1" applyFill="1" applyBorder="1" applyAlignment="1">
      <alignment horizontal="left"/>
    </xf>
    <xf numFmtId="49" fontId="11" fillId="0" borderId="26" xfId="0" applyNumberFormat="1" applyFont="1" applyBorder="1" applyAlignment="1">
      <alignment horizontal="right"/>
    </xf>
    <xf numFmtId="49" fontId="11" fillId="0" borderId="0" xfId="0" applyNumberFormat="1" applyFont="1" applyAlignment="1">
      <alignment wrapText="1"/>
    </xf>
    <xf numFmtId="49" fontId="11" fillId="0" borderId="27" xfId="0" applyNumberFormat="1" applyFont="1" applyBorder="1" applyAlignment="1">
      <alignment horizontal="right"/>
    </xf>
    <xf numFmtId="49" fontId="11" fillId="0" borderId="28" xfId="0" applyNumberFormat="1" applyFont="1" applyBorder="1" applyAlignment="1">
      <alignment horizontal="right"/>
    </xf>
    <xf numFmtId="49" fontId="11" fillId="0" borderId="22" xfId="0" applyNumberFormat="1" applyFont="1" applyBorder="1" applyAlignment="1">
      <alignment horizontal="right"/>
    </xf>
    <xf numFmtId="49" fontId="11" fillId="0" borderId="24" xfId="0" applyNumberFormat="1" applyFont="1" applyBorder="1" applyAlignment="1">
      <alignment horizontal="right"/>
    </xf>
    <xf numFmtId="49" fontId="11" fillId="0" borderId="25" xfId="0" applyNumberFormat="1" applyFont="1" applyBorder="1" applyAlignment="1">
      <alignment horizontal="right"/>
    </xf>
    <xf numFmtId="0" fontId="11" fillId="0" borderId="0" xfId="0" applyFont="1"/>
    <xf numFmtId="49" fontId="26" fillId="8" borderId="4" xfId="0" applyNumberFormat="1" applyFont="1" applyFill="1" applyBorder="1" applyAlignment="1">
      <alignment vertical="center" wrapText="1"/>
    </xf>
    <xf numFmtId="49" fontId="11" fillId="0" borderId="4" xfId="0" applyNumberFormat="1" applyFont="1" applyBorder="1" applyAlignment="1">
      <alignment vertical="center"/>
    </xf>
    <xf numFmtId="49" fontId="11" fillId="0" borderId="4" xfId="0" applyNumberFormat="1" applyFont="1" applyBorder="1" applyAlignment="1">
      <alignment horizontal="center" vertical="center"/>
    </xf>
    <xf numFmtId="49" fontId="11" fillId="0" borderId="4" xfId="0" applyNumberFormat="1" applyFont="1" applyBorder="1" applyAlignment="1">
      <alignment horizontal="right"/>
    </xf>
    <xf numFmtId="49" fontId="11" fillId="16" borderId="2" xfId="0" applyNumberFormat="1" applyFont="1" applyFill="1" applyBorder="1" applyAlignment="1">
      <alignment horizontal="center"/>
    </xf>
    <xf numFmtId="49" fontId="26" fillId="8" borderId="4" xfId="0" applyNumberFormat="1" applyFont="1" applyFill="1" applyBorder="1" applyAlignment="1">
      <alignment horizontal="center" vertical="center" wrapText="1"/>
    </xf>
    <xf numFmtId="49" fontId="11" fillId="16" borderId="2" xfId="0" applyNumberFormat="1" applyFont="1" applyFill="1" applyBorder="1" applyAlignment="1">
      <alignment horizontal="center" vertical="center"/>
    </xf>
    <xf numFmtId="49" fontId="26" fillId="8" borderId="26" xfId="0" applyNumberFormat="1" applyFont="1" applyFill="1" applyBorder="1" applyAlignment="1">
      <alignment horizontal="center" vertical="center" wrapText="1"/>
    </xf>
    <xf numFmtId="49" fontId="11" fillId="0" borderId="26" xfId="0" applyNumberFormat="1" applyFont="1" applyBorder="1" applyAlignment="1">
      <alignment horizontal="center" vertical="center"/>
    </xf>
    <xf numFmtId="49" fontId="11" fillId="0" borderId="26" xfId="0" applyNumberFormat="1" applyFont="1" applyBorder="1" applyAlignment="1">
      <alignment horizontal="center"/>
    </xf>
    <xf numFmtId="49" fontId="11" fillId="0" borderId="19" xfId="0" applyNumberFormat="1" applyFont="1" applyBorder="1" applyAlignment="1">
      <alignment horizontal="center"/>
    </xf>
    <xf numFmtId="0" fontId="17" fillId="13" borderId="19" xfId="0" applyNumberFormat="1" applyFont="1" applyFill="1" applyBorder="1" applyAlignment="1">
      <alignment horizontal="center"/>
    </xf>
    <xf numFmtId="0" fontId="21" fillId="4" borderId="4" xfId="0" applyFont="1" applyFill="1" applyBorder="1" applyAlignment="1">
      <alignment horizontal="left" vertical="top" wrapText="1"/>
    </xf>
    <xf numFmtId="0" fontId="18" fillId="8" borderId="4" xfId="0" applyFont="1" applyFill="1" applyBorder="1" applyAlignment="1">
      <alignment horizontal="left" vertical="top" wrapText="1"/>
    </xf>
    <xf numFmtId="0" fontId="19" fillId="8" borderId="4" xfId="0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horizontal="center" wrapText="1"/>
    </xf>
    <xf numFmtId="49" fontId="31" fillId="7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49" fontId="10" fillId="4" borderId="4" xfId="0" applyNumberFormat="1" applyFont="1" applyFill="1" applyBorder="1" applyAlignment="1">
      <alignment horizontal="center" vertical="center" wrapText="1"/>
    </xf>
    <xf numFmtId="49" fontId="11" fillId="0" borderId="2" xfId="0" applyNumberFormat="1" applyFont="1" applyBorder="1" applyAlignment="1">
      <alignment horizontal="center" vertical="center"/>
    </xf>
    <xf numFmtId="49" fontId="10" fillId="4" borderId="19" xfId="0" applyNumberFormat="1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1" fillId="0" borderId="4" xfId="0" applyFont="1" applyBorder="1"/>
    <xf numFmtId="49" fontId="11" fillId="0" borderId="4" xfId="0" applyNumberFormat="1" applyFont="1" applyBorder="1"/>
    <xf numFmtId="49" fontId="11" fillId="0" borderId="22" xfId="0" applyNumberFormat="1" applyFont="1" applyBorder="1"/>
    <xf numFmtId="49" fontId="11" fillId="0" borderId="44" xfId="0" applyNumberFormat="1" applyFont="1" applyBorder="1"/>
    <xf numFmtId="49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right"/>
    </xf>
    <xf numFmtId="0" fontId="11" fillId="0" borderId="4" xfId="0" applyFont="1" applyBorder="1" applyAlignment="1">
      <alignment horizontal="center"/>
    </xf>
    <xf numFmtId="0" fontId="11" fillId="0" borderId="4" xfId="0" applyFont="1" applyBorder="1" applyAlignment="1">
      <alignment horizontal="right"/>
    </xf>
    <xf numFmtId="0" fontId="11" fillId="0" borderId="26" xfId="0" applyFont="1" applyBorder="1" applyAlignment="1">
      <alignment horizontal="right"/>
    </xf>
    <xf numFmtId="0" fontId="11" fillId="0" borderId="28" xfId="0" applyFont="1" applyBorder="1" applyAlignment="1">
      <alignment horizontal="right"/>
    </xf>
    <xf numFmtId="0" fontId="6" fillId="4" borderId="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17" borderId="4" xfId="1" applyFill="1" applyBorder="1" applyAlignment="1" applyProtection="1">
      <alignment horizontal="left"/>
    </xf>
    <xf numFmtId="0" fontId="0" fillId="0" borderId="4" xfId="0" applyBorder="1" applyProtection="1">
      <protection locked="0"/>
    </xf>
    <xf numFmtId="0" fontId="8" fillId="0" borderId="4" xfId="1" applyBorder="1" applyAlignment="1">
      <alignment vertical="center"/>
    </xf>
    <xf numFmtId="0" fontId="7" fillId="7" borderId="4" xfId="0" applyFont="1" applyFill="1" applyBorder="1" applyAlignment="1">
      <alignment horizontal="center" wrapText="1"/>
    </xf>
    <xf numFmtId="0" fontId="32" fillId="4" borderId="4" xfId="0" applyFont="1" applyFill="1" applyBorder="1" applyAlignment="1">
      <alignment horizontal="center" wrapText="1"/>
    </xf>
    <xf numFmtId="0" fontId="24" fillId="0" borderId="0" xfId="0" applyFont="1" applyAlignment="1">
      <alignment horizontal="center"/>
    </xf>
    <xf numFmtId="0" fontId="24" fillId="0" borderId="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0" fillId="4" borderId="4" xfId="0" applyFont="1" applyFill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0" xfId="0" applyFont="1"/>
    <xf numFmtId="0" fontId="33" fillId="0" borderId="20" xfId="0" applyNumberFormat="1" applyFont="1" applyBorder="1" applyAlignment="1">
      <alignment horizontal="center"/>
    </xf>
    <xf numFmtId="0" fontId="33" fillId="0" borderId="0" xfId="0" applyNumberFormat="1" applyFont="1" applyBorder="1" applyAlignment="1">
      <alignment horizontal="center"/>
    </xf>
    <xf numFmtId="0" fontId="33" fillId="0" borderId="7" xfId="0" applyNumberFormat="1" applyFont="1" applyBorder="1" applyAlignment="1">
      <alignment horizontal="center"/>
    </xf>
    <xf numFmtId="0" fontId="33" fillId="0" borderId="2" xfId="0" applyNumberFormat="1" applyFont="1" applyBorder="1" applyAlignment="1">
      <alignment horizontal="center"/>
    </xf>
    <xf numFmtId="0" fontId="34" fillId="0" borderId="0" xfId="0" applyNumberFormat="1" applyFont="1" applyBorder="1" applyAlignment="1">
      <alignment horizontal="center"/>
    </xf>
    <xf numFmtId="0" fontId="34" fillId="0" borderId="7" xfId="0" applyNumberFormat="1" applyFont="1" applyBorder="1" applyAlignment="1">
      <alignment horizontal="center"/>
    </xf>
    <xf numFmtId="0" fontId="34" fillId="0" borderId="0" xfId="0" applyNumberFormat="1" applyFont="1" applyAlignment="1">
      <alignment horizontal="center"/>
    </xf>
    <xf numFmtId="0" fontId="33" fillId="0" borderId="2" xfId="0" applyNumberFormat="1" applyFont="1" applyBorder="1"/>
    <xf numFmtId="0" fontId="34" fillId="0" borderId="20" xfId="0" quotePrefix="1" applyNumberFormat="1" applyFont="1" applyBorder="1" applyAlignment="1">
      <alignment horizontal="center"/>
    </xf>
    <xf numFmtId="0" fontId="34" fillId="0" borderId="0" xfId="0" quotePrefix="1" applyNumberFormat="1" applyFont="1" applyBorder="1" applyAlignment="1">
      <alignment horizontal="center"/>
    </xf>
    <xf numFmtId="0" fontId="34" fillId="0" borderId="7" xfId="0" quotePrefix="1" applyNumberFormat="1" applyFont="1" applyBorder="1" applyAlignment="1">
      <alignment horizontal="center"/>
    </xf>
    <xf numFmtId="0" fontId="34" fillId="0" borderId="20" xfId="0" applyNumberFormat="1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3" fillId="8" borderId="4" xfId="0" applyFont="1" applyFill="1" applyBorder="1" applyAlignment="1">
      <alignment vertical="top" wrapText="1"/>
    </xf>
    <xf numFmtId="0" fontId="0" fillId="0" borderId="4" xfId="0" applyFont="1" applyBorder="1" applyAlignment="1">
      <alignment vertical="top"/>
    </xf>
    <xf numFmtId="0" fontId="0" fillId="0" borderId="4" xfId="0" applyBorder="1"/>
    <xf numFmtId="0" fontId="0" fillId="0" borderId="4" xfId="0" applyFill="1" applyBorder="1" applyAlignment="1">
      <alignment horizontal="right"/>
    </xf>
    <xf numFmtId="0" fontId="0" fillId="0" borderId="5" xfId="0" applyBorder="1"/>
    <xf numFmtId="0" fontId="0" fillId="0" borderId="4" xfId="0" applyFill="1" applyBorder="1"/>
    <xf numFmtId="0" fontId="13" fillId="8" borderId="4" xfId="0" applyFont="1" applyFill="1" applyBorder="1" applyAlignment="1">
      <alignment vertical="center" wrapText="1"/>
    </xf>
    <xf numFmtId="0" fontId="1" fillId="0" borderId="4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top"/>
    </xf>
    <xf numFmtId="0" fontId="4" fillId="2" borderId="2" xfId="0" applyFont="1" applyFill="1" applyBorder="1" applyAlignment="1">
      <alignment horizontal="center" vertical="top"/>
    </xf>
    <xf numFmtId="0" fontId="4" fillId="2" borderId="3" xfId="0" applyFont="1" applyFill="1" applyBorder="1" applyAlignment="1">
      <alignment horizontal="center" vertical="top"/>
    </xf>
    <xf numFmtId="0" fontId="4" fillId="2" borderId="4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 wrapText="1"/>
    </xf>
    <xf numFmtId="0" fontId="5" fillId="2" borderId="2" xfId="0" applyFont="1" applyFill="1" applyBorder="1" applyAlignment="1">
      <alignment horizontal="center" vertical="top" wrapText="1"/>
    </xf>
    <xf numFmtId="0" fontId="5" fillId="2" borderId="3" xfId="0" applyFont="1" applyFill="1" applyBorder="1" applyAlignment="1">
      <alignment horizontal="center" vertical="top" wrapText="1"/>
    </xf>
    <xf numFmtId="49" fontId="26" fillId="8" borderId="26" xfId="0" applyNumberFormat="1" applyFont="1" applyFill="1" applyBorder="1" applyAlignment="1">
      <alignment horizontal="center" vertical="center" wrapText="1"/>
    </xf>
    <xf numFmtId="49" fontId="26" fillId="8" borderId="27" xfId="0" applyNumberFormat="1" applyFont="1" applyFill="1" applyBorder="1" applyAlignment="1">
      <alignment horizontal="center" vertical="center" wrapText="1"/>
    </xf>
    <xf numFmtId="49" fontId="26" fillId="8" borderId="28" xfId="0" applyNumberFormat="1" applyFont="1" applyFill="1" applyBorder="1" applyAlignment="1">
      <alignment horizontal="center" vertical="center" wrapText="1"/>
    </xf>
    <xf numFmtId="49" fontId="11" fillId="0" borderId="26" xfId="0" applyNumberFormat="1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/>
    </xf>
    <xf numFmtId="49" fontId="11" fillId="0" borderId="28" xfId="0" applyNumberFormat="1" applyFont="1" applyBorder="1" applyAlignment="1">
      <alignment horizontal="center" vertical="center"/>
    </xf>
    <xf numFmtId="49" fontId="11" fillId="0" borderId="26" xfId="0" applyNumberFormat="1" applyFont="1" applyBorder="1" applyAlignment="1">
      <alignment horizontal="center" vertical="center" wrapText="1"/>
    </xf>
    <xf numFmtId="49" fontId="11" fillId="0" borderId="27" xfId="0" applyNumberFormat="1" applyFont="1" applyBorder="1" applyAlignment="1">
      <alignment horizontal="center" vertical="center" wrapText="1"/>
    </xf>
    <xf numFmtId="49" fontId="11" fillId="0" borderId="28" xfId="0" applyNumberFormat="1" applyFont="1" applyBorder="1" applyAlignment="1">
      <alignment horizontal="center" vertical="center" wrapText="1"/>
    </xf>
    <xf numFmtId="49" fontId="11" fillId="0" borderId="29" xfId="0" applyNumberFormat="1" applyFont="1" applyBorder="1" applyAlignment="1">
      <alignment horizontal="center"/>
    </xf>
    <xf numFmtId="49" fontId="11" fillId="0" borderId="40" xfId="0" applyNumberFormat="1" applyFont="1" applyBorder="1" applyAlignment="1">
      <alignment horizontal="center"/>
    </xf>
    <xf numFmtId="49" fontId="11" fillId="0" borderId="31" xfId="0" applyNumberFormat="1" applyFont="1" applyBorder="1" applyAlignment="1">
      <alignment horizontal="center"/>
    </xf>
    <xf numFmtId="49" fontId="11" fillId="0" borderId="29" xfId="0" applyNumberFormat="1" applyFont="1" applyBorder="1" applyAlignment="1">
      <alignment horizontal="center" vertical="center"/>
    </xf>
    <xf numFmtId="49" fontId="11" fillId="0" borderId="40" xfId="0" applyNumberFormat="1" applyFont="1" applyBorder="1" applyAlignment="1">
      <alignment horizontal="center" vertical="center"/>
    </xf>
    <xf numFmtId="49" fontId="11" fillId="0" borderId="31" xfId="0" applyNumberFormat="1" applyFont="1" applyBorder="1" applyAlignment="1">
      <alignment horizontal="center" vertical="center"/>
    </xf>
    <xf numFmtId="49" fontId="26" fillId="8" borderId="22" xfId="0" applyNumberFormat="1" applyFont="1" applyFill="1" applyBorder="1" applyAlignment="1">
      <alignment horizontal="center" vertical="center" wrapText="1"/>
    </xf>
    <xf numFmtId="49" fontId="26" fillId="8" borderId="24" xfId="0" applyNumberFormat="1" applyFont="1" applyFill="1" applyBorder="1" applyAlignment="1">
      <alignment horizontal="center" vertical="center" wrapText="1"/>
    </xf>
    <xf numFmtId="49" fontId="26" fillId="8" borderId="25" xfId="0" applyNumberFormat="1" applyFont="1" applyFill="1" applyBorder="1" applyAlignment="1">
      <alignment horizontal="center" vertical="center" wrapText="1"/>
    </xf>
    <xf numFmtId="49" fontId="11" fillId="0" borderId="22" xfId="0" applyNumberFormat="1" applyFont="1" applyBorder="1" applyAlignment="1">
      <alignment horizontal="center" vertical="center"/>
    </xf>
    <xf numFmtId="49" fontId="11" fillId="0" borderId="24" xfId="0" applyNumberFormat="1" applyFont="1" applyBorder="1" applyAlignment="1">
      <alignment horizontal="center" vertical="center"/>
    </xf>
    <xf numFmtId="49" fontId="11" fillId="0" borderId="25" xfId="0" applyNumberFormat="1" applyFont="1" applyBorder="1" applyAlignment="1">
      <alignment horizontal="center" vertical="center"/>
    </xf>
    <xf numFmtId="49" fontId="11" fillId="0" borderId="41" xfId="0" applyNumberFormat="1" applyFont="1" applyBorder="1" applyAlignment="1">
      <alignment horizontal="center" vertical="center"/>
    </xf>
    <xf numFmtId="49" fontId="11" fillId="0" borderId="42" xfId="0" applyNumberFormat="1" applyFont="1" applyBorder="1" applyAlignment="1">
      <alignment horizontal="center" vertical="center"/>
    </xf>
    <xf numFmtId="49" fontId="11" fillId="0" borderId="43" xfId="0" applyNumberFormat="1" applyFont="1" applyBorder="1" applyAlignment="1">
      <alignment horizontal="center" vertical="center"/>
    </xf>
    <xf numFmtId="0" fontId="13" fillId="8" borderId="19" xfId="0" applyFont="1" applyFill="1" applyBorder="1" applyAlignment="1">
      <alignment vertical="top" wrapText="1"/>
    </xf>
    <xf numFmtId="0" fontId="13" fillId="8" borderId="18" xfId="0" applyFont="1" applyFill="1" applyBorder="1" applyAlignment="1">
      <alignment vertical="top" wrapText="1"/>
    </xf>
    <xf numFmtId="0" fontId="13" fillId="8" borderId="5" xfId="0" applyFont="1" applyFill="1" applyBorder="1" applyAlignment="1">
      <alignment vertical="top" wrapText="1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9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5" xfId="0" applyBorder="1" applyAlignment="1">
      <alignment vertical="top"/>
    </xf>
    <xf numFmtId="49" fontId="11" fillId="0" borderId="19" xfId="0" applyNumberFormat="1" applyFont="1" applyBorder="1" applyAlignment="1">
      <alignment horizontal="center" vertical="center"/>
    </xf>
    <xf numFmtId="49" fontId="11" fillId="0" borderId="18" xfId="0" applyNumberFormat="1" applyFont="1" applyBorder="1" applyAlignment="1">
      <alignment horizontal="center" vertical="center"/>
    </xf>
    <xf numFmtId="49" fontId="11" fillId="0" borderId="5" xfId="0" applyNumberFormat="1" applyFont="1" applyBorder="1" applyAlignment="1">
      <alignment horizontal="center" vertical="center"/>
    </xf>
    <xf numFmtId="0" fontId="13" fillId="8" borderId="4" xfId="0" applyFont="1" applyFill="1" applyBorder="1" applyAlignment="1">
      <alignment vertical="top" wrapText="1"/>
    </xf>
    <xf numFmtId="0" fontId="0" fillId="0" borderId="4" xfId="0" applyFont="1" applyBorder="1" applyAlignment="1">
      <alignment vertical="top"/>
    </xf>
    <xf numFmtId="0" fontId="0" fillId="0" borderId="4" xfId="0" applyBorder="1" applyAlignment="1">
      <alignment horizontal="center" vertical="center"/>
    </xf>
    <xf numFmtId="0" fontId="0" fillId="0" borderId="19" xfId="0" applyFont="1" applyBorder="1" applyAlignment="1">
      <alignment vertical="top"/>
    </xf>
    <xf numFmtId="0" fontId="0" fillId="0" borderId="18" xfId="0" applyFont="1" applyBorder="1" applyAlignment="1">
      <alignment vertical="top"/>
    </xf>
    <xf numFmtId="0" fontId="0" fillId="0" borderId="5" xfId="0" applyFont="1" applyBorder="1" applyAlignment="1">
      <alignment vertical="top"/>
    </xf>
    <xf numFmtId="0" fontId="13" fillId="8" borderId="19" xfId="0" applyFont="1" applyFill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24" fillId="0" borderId="21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33" fillId="0" borderId="2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10" fillId="4" borderId="20" xfId="0" applyNumberFormat="1" applyFont="1" applyFill="1" applyBorder="1" applyAlignment="1">
      <alignment horizontal="center" vertical="center" wrapText="1"/>
    </xf>
    <xf numFmtId="0" fontId="10" fillId="4" borderId="0" xfId="0" applyNumberFormat="1" applyFont="1" applyFill="1" applyBorder="1" applyAlignment="1">
      <alignment horizontal="center" vertical="center" wrapText="1"/>
    </xf>
    <xf numFmtId="0" fontId="10" fillId="4" borderId="7" xfId="0" applyNumberFormat="1" applyFont="1" applyFill="1" applyBorder="1" applyAlignment="1">
      <alignment horizontal="center" vertical="center" wrapText="1"/>
    </xf>
    <xf numFmtId="0" fontId="10" fillId="4" borderId="2" xfId="0" applyNumberFormat="1" applyFont="1" applyFill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0" fillId="0" borderId="7" xfId="0" applyNumberFormat="1" applyBorder="1" applyAlignment="1">
      <alignment horizontal="center" vertical="center" wrapText="1"/>
    </xf>
    <xf numFmtId="0" fontId="13" fillId="8" borderId="18" xfId="0" applyFont="1" applyFill="1" applyBorder="1" applyAlignment="1">
      <alignment horizontal="left" vertical="center" wrapText="1"/>
    </xf>
    <xf numFmtId="0" fontId="13" fillId="8" borderId="5" xfId="0" applyFont="1" applyFill="1" applyBorder="1" applyAlignment="1">
      <alignment horizontal="left" vertical="center" wrapText="1"/>
    </xf>
    <xf numFmtId="0" fontId="33" fillId="0" borderId="0" xfId="0" applyFont="1" applyAlignment="1">
      <alignment horizontal="center" vertical="center"/>
    </xf>
    <xf numFmtId="0" fontId="10" fillId="4" borderId="20" xfId="0" applyNumberFormat="1" applyFont="1" applyFill="1" applyBorder="1" applyAlignment="1">
      <alignment horizontal="center" wrapText="1"/>
    </xf>
    <xf numFmtId="0" fontId="10" fillId="4" borderId="0" xfId="0" applyNumberFormat="1" applyFont="1" applyFill="1" applyBorder="1" applyAlignment="1">
      <alignment horizontal="center" wrapText="1"/>
    </xf>
    <xf numFmtId="0" fontId="10" fillId="4" borderId="7" xfId="0" applyNumberFormat="1" applyFont="1" applyFill="1" applyBorder="1" applyAlignment="1">
      <alignment horizontal="center" wrapText="1"/>
    </xf>
    <xf numFmtId="0" fontId="26" fillId="8" borderId="19" xfId="0" applyFont="1" applyFill="1" applyBorder="1" applyAlignment="1">
      <alignment horizontal="center" vertical="center" wrapText="1"/>
    </xf>
    <xf numFmtId="0" fontId="26" fillId="8" borderId="18" xfId="0" applyFont="1" applyFill="1" applyBorder="1" applyAlignment="1">
      <alignment horizontal="center" vertical="center" wrapText="1"/>
    </xf>
    <xf numFmtId="0" fontId="26" fillId="8" borderId="5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8" fillId="0" borderId="20" xfId="2" applyFont="1" applyBorder="1" applyAlignment="1">
      <alignment horizontal="center" vertical="center"/>
    </xf>
    <xf numFmtId="0" fontId="28" fillId="0" borderId="0" xfId="2" applyFont="1" applyBorder="1" applyAlignment="1">
      <alignment horizontal="center" vertical="center"/>
    </xf>
    <xf numFmtId="0" fontId="28" fillId="0" borderId="7" xfId="2" applyFont="1" applyBorder="1" applyAlignment="1">
      <alignment horizontal="center" vertical="center"/>
    </xf>
    <xf numFmtId="0" fontId="10" fillId="4" borderId="19" xfId="0" applyNumberFormat="1" applyFont="1" applyFill="1" applyBorder="1" applyAlignment="1">
      <alignment horizontal="center" vertical="center" wrapText="1"/>
    </xf>
    <xf numFmtId="0" fontId="10" fillId="4" borderId="18" xfId="0" applyNumberFormat="1" applyFont="1" applyFill="1" applyBorder="1" applyAlignment="1">
      <alignment horizontal="center" vertical="center" wrapText="1"/>
    </xf>
    <xf numFmtId="0" fontId="10" fillId="4" borderId="5" xfId="0" applyNumberFormat="1" applyFont="1" applyFill="1" applyBorder="1" applyAlignment="1">
      <alignment horizontal="center" vertical="center" wrapText="1"/>
    </xf>
    <xf numFmtId="0" fontId="25" fillId="15" borderId="20" xfId="0" applyFont="1" applyFill="1" applyBorder="1" applyAlignment="1">
      <alignment horizontal="center" vertical="center"/>
    </xf>
    <xf numFmtId="0" fontId="25" fillId="15" borderId="0" xfId="0" applyFont="1" applyFill="1" applyBorder="1" applyAlignment="1">
      <alignment horizontal="center" vertical="center"/>
    </xf>
    <xf numFmtId="0" fontId="25" fillId="15" borderId="7" xfId="0" applyFont="1" applyFill="1" applyBorder="1" applyAlignment="1">
      <alignment horizontal="center" vertical="center"/>
    </xf>
    <xf numFmtId="0" fontId="26" fillId="8" borderId="26" xfId="0" applyFont="1" applyFill="1" applyBorder="1" applyAlignment="1">
      <alignment horizontal="center" vertical="center" wrapText="1"/>
    </xf>
    <xf numFmtId="0" fontId="26" fillId="8" borderId="28" xfId="0" applyFont="1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8" fillId="0" borderId="30" xfId="2" applyFont="1" applyBorder="1" applyAlignment="1">
      <alignment horizontal="center" vertical="center"/>
    </xf>
    <xf numFmtId="0" fontId="28" fillId="0" borderId="32" xfId="2" applyFont="1" applyBorder="1" applyAlignment="1">
      <alignment horizontal="center" vertical="center"/>
    </xf>
    <xf numFmtId="0" fontId="26" fillId="8" borderId="29" xfId="0" applyFont="1" applyFill="1" applyBorder="1" applyAlignment="1">
      <alignment horizontal="center" vertical="center" wrapText="1"/>
    </xf>
    <xf numFmtId="0" fontId="26" fillId="8" borderId="31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10" borderId="7" xfId="0" applyFill="1" applyBorder="1" applyAlignment="1">
      <alignment horizontal="center" wrapText="1"/>
    </xf>
    <xf numFmtId="0" fontId="26" fillId="8" borderId="4" xfId="0" applyFont="1" applyFill="1" applyBorder="1" applyAlignment="1">
      <alignment horizontal="left" vertical="center" wrapText="1"/>
    </xf>
    <xf numFmtId="0" fontId="0" fillId="0" borderId="4" xfId="0" applyBorder="1" applyAlignment="1">
      <alignment horizontal="center"/>
    </xf>
    <xf numFmtId="0" fontId="11" fillId="0" borderId="4" xfId="0" applyFont="1" applyBorder="1" applyAlignment="1">
      <alignment horizontal="center" vertical="center"/>
    </xf>
    <xf numFmtId="0" fontId="25" fillId="15" borderId="4" xfId="0" applyFont="1" applyFill="1" applyBorder="1" applyAlignment="1">
      <alignment horizontal="center" vertical="center"/>
    </xf>
    <xf numFmtId="0" fontId="25" fillId="15" borderId="19" xfId="0" applyFont="1" applyFill="1" applyBorder="1" applyAlignment="1">
      <alignment horizontal="center" vertical="center"/>
    </xf>
    <xf numFmtId="0" fontId="25" fillId="15" borderId="18" xfId="0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/>
    </xf>
    <xf numFmtId="0" fontId="13" fillId="8" borderId="19" xfId="0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horizontal="center" vertical="center" wrapText="1"/>
    </xf>
    <xf numFmtId="49" fontId="11" fillId="0" borderId="21" xfId="0" applyNumberFormat="1" applyFont="1" applyBorder="1" applyAlignment="1">
      <alignment horizontal="center" vertical="center"/>
    </xf>
    <xf numFmtId="49" fontId="11" fillId="0" borderId="8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49" fontId="11" fillId="0" borderId="20" xfId="0" applyNumberFormat="1" applyFont="1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0" fontId="13" fillId="8" borderId="21" xfId="0" applyFont="1" applyFill="1" applyBorder="1" applyAlignment="1">
      <alignment vertical="center" wrapText="1"/>
    </xf>
    <xf numFmtId="0" fontId="13" fillId="8" borderId="8" xfId="0" applyFont="1" applyFill="1" applyBorder="1" applyAlignment="1">
      <alignment vertical="center" wrapText="1"/>
    </xf>
    <xf numFmtId="0" fontId="11" fillId="0" borderId="20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22" fillId="0" borderId="8" xfId="0" applyFont="1" applyBorder="1" applyAlignment="1">
      <alignment horizontal="right" wrapText="1"/>
    </xf>
    <xf numFmtId="0" fontId="22" fillId="0" borderId="7" xfId="0" applyFont="1" applyBorder="1" applyAlignment="1">
      <alignment horizontal="right" wrapText="1"/>
    </xf>
  </cellXfs>
  <cellStyles count="3">
    <cellStyle name="Hyperlink" xfId="1" builtinId="8"/>
    <cellStyle name="Normal" xfId="0" builtinId="0"/>
    <cellStyle name="Normal 3" xfId="2"/>
  </cellStyles>
  <dxfs count="463"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62"/>
      <tableStyleElement type="headerRow" dxfId="46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610815</xdr:colOff>
      <xdr:row>4</xdr:row>
      <xdr:rowOff>52800</xdr:rowOff>
    </xdr:from>
    <xdr:to>
      <xdr:col>7</xdr:col>
      <xdr:colOff>182190</xdr:colOff>
      <xdr:row>9</xdr:row>
      <xdr:rowOff>20415</xdr:rowOff>
    </xdr:to>
    <xdr:pic>
      <xdr:nvPicPr>
        <xdr:cNvPr id="2" name="Picture 1" descr="https://inside.nsn.com/sites/brand/1/brandcenter/Identifiers/04.%20Elements/01.%20Logo/NOKIA_LOGO_BLUE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27295" y="784320"/>
          <a:ext cx="2489835" cy="882015"/>
        </a:xfrm>
        <a:prstGeom prst="rect">
          <a:avLst/>
        </a:prstGeom>
        <a:noFill/>
      </xdr:spPr>
    </xdr:pic>
    <xdr:clientData/>
  </xdr:twoCellAnchor>
  <xdr:oneCellAnchor>
    <xdr:from>
      <xdr:col>0</xdr:col>
      <xdr:colOff>0</xdr:colOff>
      <xdr:row>0</xdr:row>
      <xdr:rowOff>0</xdr:rowOff>
    </xdr:from>
    <xdr:ext cx="8587740" cy="961486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8587740" cy="961486"/>
        </a:xfrm>
        <a:prstGeom prst="rect">
          <a:avLst/>
        </a:prstGeom>
        <a:solidFill>
          <a:srgbClr val="0070C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NT-HLR NSR Data Planning</a:t>
          </a:r>
        </a:p>
        <a:p>
          <a:pPr algn="ctr"/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7</xdr:row>
          <xdr:rowOff>9525</xdr:rowOff>
        </xdr:from>
        <xdr:to>
          <xdr:col>6</xdr:col>
          <xdr:colOff>1971675</xdr:colOff>
          <xdr:row>8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4</xdr:row>
          <xdr:rowOff>95250</xdr:rowOff>
        </xdr:from>
        <xdr:to>
          <xdr:col>6</xdr:col>
          <xdr:colOff>1943100</xdr:colOff>
          <xdr:row>5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Check For Errors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5</xdr:row>
          <xdr:rowOff>209550</xdr:rowOff>
        </xdr:from>
        <xdr:to>
          <xdr:col>6</xdr:col>
          <xdr:colOff>1943100</xdr:colOff>
          <xdr:row>6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Customer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2</xdr:row>
          <xdr:rowOff>257175</xdr:rowOff>
        </xdr:from>
        <xdr:to>
          <xdr:col>6</xdr:col>
          <xdr:colOff>1924050</xdr:colOff>
          <xdr:row>3</xdr:row>
          <xdr:rowOff>257175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Nokia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47625</xdr:rowOff>
        </xdr:from>
        <xdr:to>
          <xdr:col>5</xdr:col>
          <xdr:colOff>28575</xdr:colOff>
          <xdr:row>2</xdr:row>
          <xdr:rowOff>266700</xdr:rowOff>
        </xdr:to>
        <xdr:sp macro="" textlink="">
          <xdr:nvSpPr>
            <xdr:cNvPr id="2360" name="Check Box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1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</xdr:row>
          <xdr:rowOff>47625</xdr:rowOff>
        </xdr:from>
        <xdr:to>
          <xdr:col>5</xdr:col>
          <xdr:colOff>28575</xdr:colOff>
          <xdr:row>3</xdr:row>
          <xdr:rowOff>266700</xdr:rowOff>
        </xdr:to>
        <xdr:sp macro="" textlink="">
          <xdr:nvSpPr>
            <xdr:cNvPr id="2469" name="Check Box 421" hidden="1">
              <a:extLst>
                <a:ext uri="{63B3BB69-23CF-44E3-9099-C40C66FF867C}">
                  <a14:compatExt spid="_x0000_s2469"/>
                </a:ext>
                <a:ext uri="{FF2B5EF4-FFF2-40B4-BE49-F238E27FC236}">
                  <a16:creationId xmlns:a16="http://schemas.microsoft.com/office/drawing/2014/main" id="{00000000-0008-0000-0100-0000A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</xdr:row>
          <xdr:rowOff>47625</xdr:rowOff>
        </xdr:from>
        <xdr:to>
          <xdr:col>5</xdr:col>
          <xdr:colOff>28575</xdr:colOff>
          <xdr:row>4</xdr:row>
          <xdr:rowOff>266700</xdr:rowOff>
        </xdr:to>
        <xdr:sp macro="" textlink="">
          <xdr:nvSpPr>
            <xdr:cNvPr id="2470" name="Check Box 422" hidden="1">
              <a:extLst>
                <a:ext uri="{63B3BB69-23CF-44E3-9099-C40C66FF867C}">
                  <a14:compatExt spid="_x0000_s2470"/>
                </a:ext>
                <a:ext uri="{FF2B5EF4-FFF2-40B4-BE49-F238E27FC236}">
                  <a16:creationId xmlns:a16="http://schemas.microsoft.com/office/drawing/2014/main" id="{00000000-0008-0000-0100-0000A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47625</xdr:rowOff>
        </xdr:from>
        <xdr:to>
          <xdr:col>5</xdr:col>
          <xdr:colOff>28575</xdr:colOff>
          <xdr:row>5</xdr:row>
          <xdr:rowOff>266700</xdr:rowOff>
        </xdr:to>
        <xdr:sp macro="" textlink="">
          <xdr:nvSpPr>
            <xdr:cNvPr id="2471" name="Check Box 423" hidden="1">
              <a:extLst>
                <a:ext uri="{63B3BB69-23CF-44E3-9099-C40C66FF867C}">
                  <a14:compatExt spid="_x0000_s2471"/>
                </a:ext>
                <a:ext uri="{FF2B5EF4-FFF2-40B4-BE49-F238E27FC236}">
                  <a16:creationId xmlns:a16="http://schemas.microsoft.com/office/drawing/2014/main" id="{00000000-0008-0000-0100-0000A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6</xdr:row>
          <xdr:rowOff>47625</xdr:rowOff>
        </xdr:from>
        <xdr:to>
          <xdr:col>5</xdr:col>
          <xdr:colOff>28575</xdr:colOff>
          <xdr:row>7</xdr:row>
          <xdr:rowOff>38100</xdr:rowOff>
        </xdr:to>
        <xdr:sp macro="" textlink="">
          <xdr:nvSpPr>
            <xdr:cNvPr id="2472" name="Check Box 424" hidden="1">
              <a:extLst>
                <a:ext uri="{63B3BB69-23CF-44E3-9099-C40C66FF867C}">
                  <a14:compatExt spid="_x0000_s2472"/>
                </a:ext>
                <a:ext uri="{FF2B5EF4-FFF2-40B4-BE49-F238E27FC236}">
                  <a16:creationId xmlns:a16="http://schemas.microsoft.com/office/drawing/2014/main" id="{00000000-0008-0000-0100-0000A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47625</xdr:rowOff>
        </xdr:from>
        <xdr:to>
          <xdr:col>5</xdr:col>
          <xdr:colOff>28575</xdr:colOff>
          <xdr:row>8</xdr:row>
          <xdr:rowOff>38100</xdr:rowOff>
        </xdr:to>
        <xdr:sp macro="" textlink="">
          <xdr:nvSpPr>
            <xdr:cNvPr id="2473" name="Check Box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1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47625</xdr:rowOff>
        </xdr:from>
        <xdr:to>
          <xdr:col>5</xdr:col>
          <xdr:colOff>28575</xdr:colOff>
          <xdr:row>9</xdr:row>
          <xdr:rowOff>19050</xdr:rowOff>
        </xdr:to>
        <xdr:sp macro="" textlink="">
          <xdr:nvSpPr>
            <xdr:cNvPr id="2474" name="Check Box 426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00000000-0008-0000-0100-0000A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47625</xdr:rowOff>
        </xdr:from>
        <xdr:to>
          <xdr:col>5</xdr:col>
          <xdr:colOff>28575</xdr:colOff>
          <xdr:row>10</xdr:row>
          <xdr:rowOff>28575</xdr:rowOff>
        </xdr:to>
        <xdr:sp macro="" textlink="">
          <xdr:nvSpPr>
            <xdr:cNvPr id="2475" name="Check Box 427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00000000-0008-0000-0100-0000A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47625</xdr:rowOff>
        </xdr:from>
        <xdr:to>
          <xdr:col>5</xdr:col>
          <xdr:colOff>28575</xdr:colOff>
          <xdr:row>10</xdr:row>
          <xdr:rowOff>266700</xdr:rowOff>
        </xdr:to>
        <xdr:sp macro="" textlink="">
          <xdr:nvSpPr>
            <xdr:cNvPr id="2476" name="Check Box 428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00000000-0008-0000-0100-0000A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47625</xdr:rowOff>
        </xdr:from>
        <xdr:to>
          <xdr:col>5</xdr:col>
          <xdr:colOff>28575</xdr:colOff>
          <xdr:row>12</xdr:row>
          <xdr:rowOff>28575</xdr:rowOff>
        </xdr:to>
        <xdr:sp macro="" textlink="">
          <xdr:nvSpPr>
            <xdr:cNvPr id="2477" name="Check Box 429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00000000-0008-0000-0100-0000A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47625</xdr:rowOff>
        </xdr:from>
        <xdr:to>
          <xdr:col>5</xdr:col>
          <xdr:colOff>28575</xdr:colOff>
          <xdr:row>13</xdr:row>
          <xdr:rowOff>28575</xdr:rowOff>
        </xdr:to>
        <xdr:sp macro="" textlink="">
          <xdr:nvSpPr>
            <xdr:cNvPr id="2478" name="Check Box 430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00000000-0008-0000-0100-0000A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</xdr:row>
          <xdr:rowOff>47625</xdr:rowOff>
        </xdr:from>
        <xdr:to>
          <xdr:col>5</xdr:col>
          <xdr:colOff>28575</xdr:colOff>
          <xdr:row>14</xdr:row>
          <xdr:rowOff>38100</xdr:rowOff>
        </xdr:to>
        <xdr:sp macro="" textlink="">
          <xdr:nvSpPr>
            <xdr:cNvPr id="2479" name="Check Box 431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00000000-0008-0000-0100-0000A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</xdr:row>
          <xdr:rowOff>47625</xdr:rowOff>
        </xdr:from>
        <xdr:to>
          <xdr:col>5</xdr:col>
          <xdr:colOff>28575</xdr:colOff>
          <xdr:row>15</xdr:row>
          <xdr:rowOff>19050</xdr:rowOff>
        </xdr:to>
        <xdr:sp macro="" textlink="">
          <xdr:nvSpPr>
            <xdr:cNvPr id="2480" name="Check Box 432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00000000-0008-0000-0100-0000B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47625</xdr:rowOff>
        </xdr:from>
        <xdr:to>
          <xdr:col>5</xdr:col>
          <xdr:colOff>28575</xdr:colOff>
          <xdr:row>16</xdr:row>
          <xdr:rowOff>9525</xdr:rowOff>
        </xdr:to>
        <xdr:sp macro="" textlink="">
          <xdr:nvSpPr>
            <xdr:cNvPr id="2481" name="Check Box 433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00000000-0008-0000-0100-0000B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47625</xdr:rowOff>
        </xdr:from>
        <xdr:to>
          <xdr:col>5</xdr:col>
          <xdr:colOff>28575</xdr:colOff>
          <xdr:row>16</xdr:row>
          <xdr:rowOff>266700</xdr:rowOff>
        </xdr:to>
        <xdr:sp macro="" textlink="">
          <xdr:nvSpPr>
            <xdr:cNvPr id="2482" name="Check Box 434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00000000-0008-0000-0100-0000B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17</xdr:row>
          <xdr:rowOff>47625</xdr:rowOff>
        </xdr:from>
        <xdr:to>
          <xdr:col>5</xdr:col>
          <xdr:colOff>28575</xdr:colOff>
          <xdr:row>17</xdr:row>
          <xdr:rowOff>266700</xdr:rowOff>
        </xdr:to>
        <xdr:sp macro="" textlink="">
          <xdr:nvSpPr>
            <xdr:cNvPr id="2483" name="Check Box 435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00000000-0008-0000-0100-0000B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18</xdr:row>
          <xdr:rowOff>47625</xdr:rowOff>
        </xdr:from>
        <xdr:to>
          <xdr:col>5</xdr:col>
          <xdr:colOff>28575</xdr:colOff>
          <xdr:row>19</xdr:row>
          <xdr:rowOff>0</xdr:rowOff>
        </xdr:to>
        <xdr:sp macro="" textlink="">
          <xdr:nvSpPr>
            <xdr:cNvPr id="2484" name="Check Box 436" hidden="1">
              <a:extLst>
                <a:ext uri="{63B3BB69-23CF-44E3-9099-C40C66FF867C}">
                  <a14:compatExt spid="_x0000_s2484"/>
                </a:ext>
                <a:ext uri="{FF2B5EF4-FFF2-40B4-BE49-F238E27FC236}">
                  <a16:creationId xmlns:a16="http://schemas.microsoft.com/office/drawing/2014/main" id="{00000000-0008-0000-0100-0000B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19</xdr:row>
          <xdr:rowOff>47625</xdr:rowOff>
        </xdr:from>
        <xdr:to>
          <xdr:col>5</xdr:col>
          <xdr:colOff>28575</xdr:colOff>
          <xdr:row>20</xdr:row>
          <xdr:rowOff>19050</xdr:rowOff>
        </xdr:to>
        <xdr:sp macro="" textlink="">
          <xdr:nvSpPr>
            <xdr:cNvPr id="2485" name="Check Box 437" hidden="1">
              <a:extLst>
                <a:ext uri="{63B3BB69-23CF-44E3-9099-C40C66FF867C}">
                  <a14:compatExt spid="_x0000_s2485"/>
                </a:ext>
                <a:ext uri="{FF2B5EF4-FFF2-40B4-BE49-F238E27FC236}">
                  <a16:creationId xmlns:a16="http://schemas.microsoft.com/office/drawing/2014/main" id="{00000000-0008-0000-0100-0000B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20</xdr:row>
          <xdr:rowOff>47625</xdr:rowOff>
        </xdr:from>
        <xdr:to>
          <xdr:col>5</xdr:col>
          <xdr:colOff>28575</xdr:colOff>
          <xdr:row>21</xdr:row>
          <xdr:rowOff>28575</xdr:rowOff>
        </xdr:to>
        <xdr:sp macro="" textlink="">
          <xdr:nvSpPr>
            <xdr:cNvPr id="2486" name="Check Box 438" hidden="1">
              <a:extLst>
                <a:ext uri="{63B3BB69-23CF-44E3-9099-C40C66FF867C}">
                  <a14:compatExt spid="_x0000_s2486"/>
                </a:ext>
                <a:ext uri="{FF2B5EF4-FFF2-40B4-BE49-F238E27FC236}">
                  <a16:creationId xmlns:a16="http://schemas.microsoft.com/office/drawing/2014/main" id="{00000000-0008-0000-0100-0000B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21</xdr:row>
          <xdr:rowOff>47625</xdr:rowOff>
        </xdr:from>
        <xdr:to>
          <xdr:col>5</xdr:col>
          <xdr:colOff>28575</xdr:colOff>
          <xdr:row>21</xdr:row>
          <xdr:rowOff>266700</xdr:rowOff>
        </xdr:to>
        <xdr:sp macro="" textlink="">
          <xdr:nvSpPr>
            <xdr:cNvPr id="2487" name="Check Box 439" hidden="1">
              <a:extLst>
                <a:ext uri="{63B3BB69-23CF-44E3-9099-C40C66FF867C}">
                  <a14:compatExt spid="_x0000_s2487"/>
                </a:ext>
                <a:ext uri="{FF2B5EF4-FFF2-40B4-BE49-F238E27FC236}">
                  <a16:creationId xmlns:a16="http://schemas.microsoft.com/office/drawing/2014/main" id="{00000000-0008-0000-0100-0000B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22</xdr:row>
          <xdr:rowOff>47625</xdr:rowOff>
        </xdr:from>
        <xdr:to>
          <xdr:col>5</xdr:col>
          <xdr:colOff>28575</xdr:colOff>
          <xdr:row>22</xdr:row>
          <xdr:rowOff>266700</xdr:rowOff>
        </xdr:to>
        <xdr:sp macro="" textlink="">
          <xdr:nvSpPr>
            <xdr:cNvPr id="2488" name="Check Box 440" hidden="1">
              <a:extLst>
                <a:ext uri="{63B3BB69-23CF-44E3-9099-C40C66FF867C}">
                  <a14:compatExt spid="_x0000_s2488"/>
                </a:ext>
                <a:ext uri="{FF2B5EF4-FFF2-40B4-BE49-F238E27FC236}">
                  <a16:creationId xmlns:a16="http://schemas.microsoft.com/office/drawing/2014/main" id="{00000000-0008-0000-0100-0000B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47625</xdr:rowOff>
        </xdr:from>
        <xdr:to>
          <xdr:col>5</xdr:col>
          <xdr:colOff>28575</xdr:colOff>
          <xdr:row>24</xdr:row>
          <xdr:rowOff>76200</xdr:rowOff>
        </xdr:to>
        <xdr:sp macro="" textlink="">
          <xdr:nvSpPr>
            <xdr:cNvPr id="2489" name="Check Box 441" hidden="1">
              <a:extLst>
                <a:ext uri="{63B3BB69-23CF-44E3-9099-C40C66FF867C}">
                  <a14:compatExt spid="_x0000_s2489"/>
                </a:ext>
                <a:ext uri="{FF2B5EF4-FFF2-40B4-BE49-F238E27FC236}">
                  <a16:creationId xmlns:a16="http://schemas.microsoft.com/office/drawing/2014/main" id="{00000000-0008-0000-0100-0000B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47625</xdr:rowOff>
        </xdr:from>
        <xdr:to>
          <xdr:col>5</xdr:col>
          <xdr:colOff>28575</xdr:colOff>
          <xdr:row>24</xdr:row>
          <xdr:rowOff>266700</xdr:rowOff>
        </xdr:to>
        <xdr:sp macro="" textlink="">
          <xdr:nvSpPr>
            <xdr:cNvPr id="2490" name="Check Box 442" hidden="1">
              <a:extLst>
                <a:ext uri="{63B3BB69-23CF-44E3-9099-C40C66FF867C}">
                  <a14:compatExt spid="_x0000_s2490"/>
                </a:ext>
                <a:ext uri="{FF2B5EF4-FFF2-40B4-BE49-F238E27FC236}">
                  <a16:creationId xmlns:a16="http://schemas.microsoft.com/office/drawing/2014/main" id="{00000000-0008-0000-0100-0000B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47625</xdr:rowOff>
        </xdr:from>
        <xdr:to>
          <xdr:col>5</xdr:col>
          <xdr:colOff>28575</xdr:colOff>
          <xdr:row>26</xdr:row>
          <xdr:rowOff>76200</xdr:rowOff>
        </xdr:to>
        <xdr:sp macro="" textlink="">
          <xdr:nvSpPr>
            <xdr:cNvPr id="2491" name="Check Box 443" hidden="1">
              <a:extLst>
                <a:ext uri="{63B3BB69-23CF-44E3-9099-C40C66FF867C}">
                  <a14:compatExt spid="_x0000_s2491"/>
                </a:ext>
                <a:ext uri="{FF2B5EF4-FFF2-40B4-BE49-F238E27FC236}">
                  <a16:creationId xmlns:a16="http://schemas.microsoft.com/office/drawing/2014/main" id="{00000000-0008-0000-0100-0000B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47625</xdr:rowOff>
        </xdr:from>
        <xdr:to>
          <xdr:col>5</xdr:col>
          <xdr:colOff>28575</xdr:colOff>
          <xdr:row>27</xdr:row>
          <xdr:rowOff>9525</xdr:rowOff>
        </xdr:to>
        <xdr:sp macro="" textlink="">
          <xdr:nvSpPr>
            <xdr:cNvPr id="2492" name="Check Box 444" hidden="1">
              <a:extLst>
                <a:ext uri="{63B3BB69-23CF-44E3-9099-C40C66FF867C}">
                  <a14:compatExt spid="_x0000_s2492"/>
                </a:ext>
                <a:ext uri="{FF2B5EF4-FFF2-40B4-BE49-F238E27FC236}">
                  <a16:creationId xmlns:a16="http://schemas.microsoft.com/office/drawing/2014/main" id="{00000000-0008-0000-0100-0000B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47625</xdr:rowOff>
        </xdr:from>
        <xdr:to>
          <xdr:col>5</xdr:col>
          <xdr:colOff>28575</xdr:colOff>
          <xdr:row>28</xdr:row>
          <xdr:rowOff>0</xdr:rowOff>
        </xdr:to>
        <xdr:sp macro="" textlink="">
          <xdr:nvSpPr>
            <xdr:cNvPr id="2493" name="Check Box 445" hidden="1">
              <a:extLst>
                <a:ext uri="{63B3BB69-23CF-44E3-9099-C40C66FF867C}">
                  <a14:compatExt spid="_x0000_s2493"/>
                </a:ext>
                <a:ext uri="{FF2B5EF4-FFF2-40B4-BE49-F238E27FC236}">
                  <a16:creationId xmlns:a16="http://schemas.microsoft.com/office/drawing/2014/main" id="{00000000-0008-0000-0100-0000B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47625</xdr:rowOff>
        </xdr:from>
        <xdr:to>
          <xdr:col>5</xdr:col>
          <xdr:colOff>28575</xdr:colOff>
          <xdr:row>29</xdr:row>
          <xdr:rowOff>19050</xdr:rowOff>
        </xdr:to>
        <xdr:sp macro="" textlink="">
          <xdr:nvSpPr>
            <xdr:cNvPr id="2494" name="Check Box 446" hidden="1">
              <a:extLst>
                <a:ext uri="{63B3BB69-23CF-44E3-9099-C40C66FF867C}">
                  <a14:compatExt spid="_x0000_s2494"/>
                </a:ext>
                <a:ext uri="{FF2B5EF4-FFF2-40B4-BE49-F238E27FC236}">
                  <a16:creationId xmlns:a16="http://schemas.microsoft.com/office/drawing/2014/main" id="{00000000-0008-0000-0100-0000B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47625</xdr:rowOff>
        </xdr:from>
        <xdr:to>
          <xdr:col>5</xdr:col>
          <xdr:colOff>28575</xdr:colOff>
          <xdr:row>30</xdr:row>
          <xdr:rowOff>76200</xdr:rowOff>
        </xdr:to>
        <xdr:sp macro="" textlink="">
          <xdr:nvSpPr>
            <xdr:cNvPr id="2495" name="Check Box 447" hidden="1">
              <a:extLst>
                <a:ext uri="{63B3BB69-23CF-44E3-9099-C40C66FF867C}">
                  <a14:compatExt spid="_x0000_s2495"/>
                </a:ext>
                <a:ext uri="{FF2B5EF4-FFF2-40B4-BE49-F238E27FC236}">
                  <a16:creationId xmlns:a16="http://schemas.microsoft.com/office/drawing/2014/main" id="{00000000-0008-0000-0100-0000B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30</xdr:row>
          <xdr:rowOff>47625</xdr:rowOff>
        </xdr:from>
        <xdr:to>
          <xdr:col>5</xdr:col>
          <xdr:colOff>28575</xdr:colOff>
          <xdr:row>31</xdr:row>
          <xdr:rowOff>76200</xdr:rowOff>
        </xdr:to>
        <xdr:sp macro="" textlink="">
          <xdr:nvSpPr>
            <xdr:cNvPr id="2496" name="Check Box 448" hidden="1">
              <a:extLst>
                <a:ext uri="{63B3BB69-23CF-44E3-9099-C40C66FF867C}">
                  <a14:compatExt spid="_x0000_s2496"/>
                </a:ext>
                <a:ext uri="{FF2B5EF4-FFF2-40B4-BE49-F238E27FC236}">
                  <a16:creationId xmlns:a16="http://schemas.microsoft.com/office/drawing/2014/main" id="{00000000-0008-0000-0100-0000C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31</xdr:row>
          <xdr:rowOff>47625</xdr:rowOff>
        </xdr:from>
        <xdr:to>
          <xdr:col>5</xdr:col>
          <xdr:colOff>28575</xdr:colOff>
          <xdr:row>32</xdr:row>
          <xdr:rowOff>76200</xdr:rowOff>
        </xdr:to>
        <xdr:sp macro="" textlink="">
          <xdr:nvSpPr>
            <xdr:cNvPr id="2497" name="Check Box 449" hidden="1">
              <a:extLst>
                <a:ext uri="{63B3BB69-23CF-44E3-9099-C40C66FF867C}">
                  <a14:compatExt spid="_x0000_s2497"/>
                </a:ext>
                <a:ext uri="{FF2B5EF4-FFF2-40B4-BE49-F238E27FC236}">
                  <a16:creationId xmlns:a16="http://schemas.microsoft.com/office/drawing/2014/main" id="{00000000-0008-0000-0100-0000C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32</xdr:row>
          <xdr:rowOff>47625</xdr:rowOff>
        </xdr:from>
        <xdr:to>
          <xdr:col>5</xdr:col>
          <xdr:colOff>28575</xdr:colOff>
          <xdr:row>33</xdr:row>
          <xdr:rowOff>9525</xdr:rowOff>
        </xdr:to>
        <xdr:sp macro="" textlink="">
          <xdr:nvSpPr>
            <xdr:cNvPr id="2498" name="Check Box 450" hidden="1">
              <a:extLst>
                <a:ext uri="{63B3BB69-23CF-44E3-9099-C40C66FF867C}">
                  <a14:compatExt spid="_x0000_s2498"/>
                </a:ext>
                <a:ext uri="{FF2B5EF4-FFF2-40B4-BE49-F238E27FC236}">
                  <a16:creationId xmlns:a16="http://schemas.microsoft.com/office/drawing/2014/main" id="{00000000-0008-0000-0100-0000C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33</xdr:row>
          <xdr:rowOff>47625</xdr:rowOff>
        </xdr:from>
        <xdr:to>
          <xdr:col>5</xdr:col>
          <xdr:colOff>28575</xdr:colOff>
          <xdr:row>34</xdr:row>
          <xdr:rowOff>9525</xdr:rowOff>
        </xdr:to>
        <xdr:sp macro="" textlink="">
          <xdr:nvSpPr>
            <xdr:cNvPr id="2499" name="Check Box 451" hidden="1">
              <a:extLst>
                <a:ext uri="{63B3BB69-23CF-44E3-9099-C40C66FF867C}">
                  <a14:compatExt spid="_x0000_s2499"/>
                </a:ex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34</xdr:row>
          <xdr:rowOff>47625</xdr:rowOff>
        </xdr:from>
        <xdr:to>
          <xdr:col>5</xdr:col>
          <xdr:colOff>28575</xdr:colOff>
          <xdr:row>35</xdr:row>
          <xdr:rowOff>9525</xdr:rowOff>
        </xdr:to>
        <xdr:sp macro="" textlink="">
          <xdr:nvSpPr>
            <xdr:cNvPr id="2500" name="Check Box 452" hidden="1">
              <a:extLst>
                <a:ext uri="{63B3BB69-23CF-44E3-9099-C40C66FF867C}">
                  <a14:compatExt spid="_x0000_s2500"/>
                </a:ext>
                <a:ext uri="{FF2B5EF4-FFF2-40B4-BE49-F238E27FC236}">
                  <a16:creationId xmlns:a16="http://schemas.microsoft.com/office/drawing/2014/main" id="{00000000-0008-0000-0100-0000C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35</xdr:row>
          <xdr:rowOff>47625</xdr:rowOff>
        </xdr:from>
        <xdr:to>
          <xdr:col>5</xdr:col>
          <xdr:colOff>28575</xdr:colOff>
          <xdr:row>36</xdr:row>
          <xdr:rowOff>28575</xdr:rowOff>
        </xdr:to>
        <xdr:sp macro="" textlink="">
          <xdr:nvSpPr>
            <xdr:cNvPr id="2501" name="Check Box 453" hidden="1">
              <a:extLst>
                <a:ext uri="{63B3BB69-23CF-44E3-9099-C40C66FF867C}">
                  <a14:compatExt spid="_x0000_s2501"/>
                </a:ext>
                <a:ext uri="{FF2B5EF4-FFF2-40B4-BE49-F238E27FC236}">
                  <a16:creationId xmlns:a16="http://schemas.microsoft.com/office/drawing/2014/main" id="{00000000-0008-0000-0100-0000C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36</xdr:row>
          <xdr:rowOff>47625</xdr:rowOff>
        </xdr:from>
        <xdr:to>
          <xdr:col>5</xdr:col>
          <xdr:colOff>28575</xdr:colOff>
          <xdr:row>37</xdr:row>
          <xdr:rowOff>76200</xdr:rowOff>
        </xdr:to>
        <xdr:sp macro="" textlink="">
          <xdr:nvSpPr>
            <xdr:cNvPr id="2502" name="Check Box 454" hidden="1">
              <a:extLst>
                <a:ext uri="{63B3BB69-23CF-44E3-9099-C40C66FF867C}">
                  <a14:compatExt spid="_x0000_s2502"/>
                </a:ext>
                <a:ext uri="{FF2B5EF4-FFF2-40B4-BE49-F238E27FC236}">
                  <a16:creationId xmlns:a16="http://schemas.microsoft.com/office/drawing/2014/main" id="{00000000-0008-0000-0100-0000C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37</xdr:row>
          <xdr:rowOff>47625</xdr:rowOff>
        </xdr:from>
        <xdr:to>
          <xdr:col>5</xdr:col>
          <xdr:colOff>28575</xdr:colOff>
          <xdr:row>38</xdr:row>
          <xdr:rowOff>9525</xdr:rowOff>
        </xdr:to>
        <xdr:sp macro="" textlink="">
          <xdr:nvSpPr>
            <xdr:cNvPr id="2503" name="Check Box 455" hidden="1">
              <a:extLst>
                <a:ext uri="{63B3BB69-23CF-44E3-9099-C40C66FF867C}">
                  <a14:compatExt spid="_x0000_s2503"/>
                </a:ext>
                <a:ext uri="{FF2B5EF4-FFF2-40B4-BE49-F238E27FC236}">
                  <a16:creationId xmlns:a16="http://schemas.microsoft.com/office/drawing/2014/main" id="{00000000-0008-0000-0100-0000C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38</xdr:row>
          <xdr:rowOff>47625</xdr:rowOff>
        </xdr:from>
        <xdr:to>
          <xdr:col>5</xdr:col>
          <xdr:colOff>28575</xdr:colOff>
          <xdr:row>39</xdr:row>
          <xdr:rowOff>0</xdr:rowOff>
        </xdr:to>
        <xdr:sp macro="" textlink="">
          <xdr:nvSpPr>
            <xdr:cNvPr id="2504" name="Check Box 456" hidden="1">
              <a:extLst>
                <a:ext uri="{63B3BB69-23CF-44E3-9099-C40C66FF867C}">
                  <a14:compatExt spid="_x0000_s2504"/>
                </a:ext>
                <a:ext uri="{FF2B5EF4-FFF2-40B4-BE49-F238E27FC236}">
                  <a16:creationId xmlns:a16="http://schemas.microsoft.com/office/drawing/2014/main" id="{00000000-0008-0000-0100-0000C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39</xdr:row>
          <xdr:rowOff>47625</xdr:rowOff>
        </xdr:from>
        <xdr:to>
          <xdr:col>5</xdr:col>
          <xdr:colOff>28575</xdr:colOff>
          <xdr:row>40</xdr:row>
          <xdr:rowOff>0</xdr:rowOff>
        </xdr:to>
        <xdr:sp macro="" textlink="">
          <xdr:nvSpPr>
            <xdr:cNvPr id="2505" name="Check Box 457" hidden="1">
              <a:extLst>
                <a:ext uri="{63B3BB69-23CF-44E3-9099-C40C66FF867C}">
                  <a14:compatExt spid="_x0000_s2505"/>
                </a:ext>
                <a:ext uri="{FF2B5EF4-FFF2-40B4-BE49-F238E27FC236}">
                  <a16:creationId xmlns:a16="http://schemas.microsoft.com/office/drawing/2014/main" id="{00000000-0008-0000-0100-0000C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40</xdr:row>
          <xdr:rowOff>47625</xdr:rowOff>
        </xdr:from>
        <xdr:to>
          <xdr:col>5</xdr:col>
          <xdr:colOff>28575</xdr:colOff>
          <xdr:row>41</xdr:row>
          <xdr:rowOff>76200</xdr:rowOff>
        </xdr:to>
        <xdr:sp macro="" textlink="">
          <xdr:nvSpPr>
            <xdr:cNvPr id="2506" name="Check Box 458" hidden="1">
              <a:extLst>
                <a:ext uri="{63B3BB69-23CF-44E3-9099-C40C66FF867C}">
                  <a14:compatExt spid="_x0000_s2506"/>
                </a:ext>
                <a:ext uri="{FF2B5EF4-FFF2-40B4-BE49-F238E27FC236}">
                  <a16:creationId xmlns:a16="http://schemas.microsoft.com/office/drawing/2014/main" id="{00000000-0008-0000-0100-0000C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41</xdr:row>
          <xdr:rowOff>47625</xdr:rowOff>
        </xdr:from>
        <xdr:to>
          <xdr:col>5</xdr:col>
          <xdr:colOff>28575</xdr:colOff>
          <xdr:row>41</xdr:row>
          <xdr:rowOff>266700</xdr:rowOff>
        </xdr:to>
        <xdr:sp macro="" textlink="">
          <xdr:nvSpPr>
            <xdr:cNvPr id="2507" name="Check Box 459" hidden="1">
              <a:extLst>
                <a:ext uri="{63B3BB69-23CF-44E3-9099-C40C66FF867C}">
                  <a14:compatExt spid="_x0000_s2507"/>
                </a:ext>
                <a:ext uri="{FF2B5EF4-FFF2-40B4-BE49-F238E27FC236}">
                  <a16:creationId xmlns:a16="http://schemas.microsoft.com/office/drawing/2014/main" id="{00000000-0008-0000-0100-0000C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42</xdr:row>
          <xdr:rowOff>47625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2508" name="Check Box 460" hidden="1">
              <a:extLst>
                <a:ext uri="{63B3BB69-23CF-44E3-9099-C40C66FF867C}">
                  <a14:compatExt spid="_x0000_s2508"/>
                </a:ext>
                <a:ext uri="{FF2B5EF4-FFF2-40B4-BE49-F238E27FC236}">
                  <a16:creationId xmlns:a16="http://schemas.microsoft.com/office/drawing/2014/main" id="{00000000-0008-0000-0100-0000C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43</xdr:row>
          <xdr:rowOff>47625</xdr:rowOff>
        </xdr:from>
        <xdr:to>
          <xdr:col>5</xdr:col>
          <xdr:colOff>28575</xdr:colOff>
          <xdr:row>44</xdr:row>
          <xdr:rowOff>9525</xdr:rowOff>
        </xdr:to>
        <xdr:sp macro="" textlink="">
          <xdr:nvSpPr>
            <xdr:cNvPr id="2509" name="Check Box 461" hidden="1">
              <a:extLst>
                <a:ext uri="{63B3BB69-23CF-44E3-9099-C40C66FF867C}">
                  <a14:compatExt spid="_x0000_s2509"/>
                </a:ext>
                <a:ext uri="{FF2B5EF4-FFF2-40B4-BE49-F238E27FC236}">
                  <a16:creationId xmlns:a16="http://schemas.microsoft.com/office/drawing/2014/main" id="{00000000-0008-0000-0100-0000C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44</xdr:row>
          <xdr:rowOff>47625</xdr:rowOff>
        </xdr:from>
        <xdr:to>
          <xdr:col>5</xdr:col>
          <xdr:colOff>28575</xdr:colOff>
          <xdr:row>45</xdr:row>
          <xdr:rowOff>9525</xdr:rowOff>
        </xdr:to>
        <xdr:sp macro="" textlink="">
          <xdr:nvSpPr>
            <xdr:cNvPr id="2510" name="Check Box 462" hidden="1">
              <a:extLst>
                <a:ext uri="{63B3BB69-23CF-44E3-9099-C40C66FF867C}">
                  <a14:compatExt spid="_x0000_s2510"/>
                </a:ext>
                <a:ext uri="{FF2B5EF4-FFF2-40B4-BE49-F238E27FC236}">
                  <a16:creationId xmlns:a16="http://schemas.microsoft.com/office/drawing/2014/main" id="{00000000-0008-0000-0100-0000C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45</xdr:row>
          <xdr:rowOff>47625</xdr:rowOff>
        </xdr:from>
        <xdr:to>
          <xdr:col>5</xdr:col>
          <xdr:colOff>28575</xdr:colOff>
          <xdr:row>46</xdr:row>
          <xdr:rowOff>38100</xdr:rowOff>
        </xdr:to>
        <xdr:sp macro="" textlink="">
          <xdr:nvSpPr>
            <xdr:cNvPr id="2511" name="Check Box 463" hidden="1">
              <a:extLst>
                <a:ext uri="{63B3BB69-23CF-44E3-9099-C40C66FF867C}">
                  <a14:compatExt spid="_x0000_s2511"/>
                </a:ext>
                <a:ext uri="{FF2B5EF4-FFF2-40B4-BE49-F238E27FC236}">
                  <a16:creationId xmlns:a16="http://schemas.microsoft.com/office/drawing/2014/main" id="{00000000-0008-0000-0100-0000C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46</xdr:row>
          <xdr:rowOff>47625</xdr:rowOff>
        </xdr:from>
        <xdr:to>
          <xdr:col>5</xdr:col>
          <xdr:colOff>28575</xdr:colOff>
          <xdr:row>46</xdr:row>
          <xdr:rowOff>266700</xdr:rowOff>
        </xdr:to>
        <xdr:sp macro="" textlink="">
          <xdr:nvSpPr>
            <xdr:cNvPr id="2512" name="Check Box 464" hidden="1">
              <a:extLst>
                <a:ext uri="{63B3BB69-23CF-44E3-9099-C40C66FF867C}">
                  <a14:compatExt spid="_x0000_s2512"/>
                </a:ext>
                <a:ext uri="{FF2B5EF4-FFF2-40B4-BE49-F238E27FC236}">
                  <a16:creationId xmlns:a16="http://schemas.microsoft.com/office/drawing/2014/main" id="{00000000-0008-0000-0100-0000D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47</xdr:row>
          <xdr:rowOff>47625</xdr:rowOff>
        </xdr:from>
        <xdr:to>
          <xdr:col>5</xdr:col>
          <xdr:colOff>28575</xdr:colOff>
          <xdr:row>48</xdr:row>
          <xdr:rowOff>9525</xdr:rowOff>
        </xdr:to>
        <xdr:sp macro="" textlink="">
          <xdr:nvSpPr>
            <xdr:cNvPr id="2513" name="Check Box 465" hidden="1">
              <a:extLst>
                <a:ext uri="{63B3BB69-23CF-44E3-9099-C40C66FF867C}">
                  <a14:compatExt spid="_x0000_s2513"/>
                </a:ext>
                <a:ext uri="{FF2B5EF4-FFF2-40B4-BE49-F238E27FC236}">
                  <a16:creationId xmlns:a16="http://schemas.microsoft.com/office/drawing/2014/main" id="{00000000-0008-0000-0100-0000D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48</xdr:row>
          <xdr:rowOff>47625</xdr:rowOff>
        </xdr:from>
        <xdr:to>
          <xdr:col>5</xdr:col>
          <xdr:colOff>28575</xdr:colOff>
          <xdr:row>49</xdr:row>
          <xdr:rowOff>28575</xdr:rowOff>
        </xdr:to>
        <xdr:sp macro="" textlink="">
          <xdr:nvSpPr>
            <xdr:cNvPr id="2514" name="Check Box 466" hidden="1">
              <a:extLst>
                <a:ext uri="{63B3BB69-23CF-44E3-9099-C40C66FF867C}">
                  <a14:compatExt spid="_x0000_s2514"/>
                </a:ext>
                <a:ext uri="{FF2B5EF4-FFF2-40B4-BE49-F238E27FC236}">
                  <a16:creationId xmlns:a16="http://schemas.microsoft.com/office/drawing/2014/main" id="{00000000-0008-0000-0100-0000D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49</xdr:row>
          <xdr:rowOff>47625</xdr:rowOff>
        </xdr:from>
        <xdr:to>
          <xdr:col>5</xdr:col>
          <xdr:colOff>28575</xdr:colOff>
          <xdr:row>50</xdr:row>
          <xdr:rowOff>38100</xdr:rowOff>
        </xdr:to>
        <xdr:sp macro="" textlink="">
          <xdr:nvSpPr>
            <xdr:cNvPr id="2515" name="Check Box 467" hidden="1">
              <a:extLst>
                <a:ext uri="{63B3BB69-23CF-44E3-9099-C40C66FF867C}">
                  <a14:compatExt spid="_x0000_s2515"/>
                </a:ext>
                <a:ext uri="{FF2B5EF4-FFF2-40B4-BE49-F238E27FC236}">
                  <a16:creationId xmlns:a16="http://schemas.microsoft.com/office/drawing/2014/main" id="{00000000-0008-0000-0100-0000D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50</xdr:row>
          <xdr:rowOff>47625</xdr:rowOff>
        </xdr:from>
        <xdr:to>
          <xdr:col>5</xdr:col>
          <xdr:colOff>28575</xdr:colOff>
          <xdr:row>51</xdr:row>
          <xdr:rowOff>0</xdr:rowOff>
        </xdr:to>
        <xdr:sp macro="" textlink="">
          <xdr:nvSpPr>
            <xdr:cNvPr id="2516" name="Check Box 468" hidden="1">
              <a:extLst>
                <a:ext uri="{63B3BB69-23CF-44E3-9099-C40C66FF867C}">
                  <a14:compatExt spid="_x0000_s2516"/>
                </a:ext>
                <a:ext uri="{FF2B5EF4-FFF2-40B4-BE49-F238E27FC236}">
                  <a16:creationId xmlns:a16="http://schemas.microsoft.com/office/drawing/2014/main" id="{00000000-0008-0000-0100-0000D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51</xdr:row>
          <xdr:rowOff>47625</xdr:rowOff>
        </xdr:from>
        <xdr:to>
          <xdr:col>5</xdr:col>
          <xdr:colOff>28575</xdr:colOff>
          <xdr:row>52</xdr:row>
          <xdr:rowOff>9525</xdr:rowOff>
        </xdr:to>
        <xdr:sp macro="" textlink="">
          <xdr:nvSpPr>
            <xdr:cNvPr id="2517" name="Check Box 469" hidden="1">
              <a:extLst>
                <a:ext uri="{63B3BB69-23CF-44E3-9099-C40C66FF867C}">
                  <a14:compatExt spid="_x0000_s2517"/>
                </a:ext>
                <a:ext uri="{FF2B5EF4-FFF2-40B4-BE49-F238E27FC236}">
                  <a16:creationId xmlns:a16="http://schemas.microsoft.com/office/drawing/2014/main" id="{00000000-0008-0000-0100-0000D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52</xdr:row>
          <xdr:rowOff>47625</xdr:rowOff>
        </xdr:from>
        <xdr:to>
          <xdr:col>5</xdr:col>
          <xdr:colOff>28575</xdr:colOff>
          <xdr:row>53</xdr:row>
          <xdr:rowOff>0</xdr:rowOff>
        </xdr:to>
        <xdr:sp macro="" textlink="">
          <xdr:nvSpPr>
            <xdr:cNvPr id="2518" name="Check Box 470" hidden="1">
              <a:extLst>
                <a:ext uri="{63B3BB69-23CF-44E3-9099-C40C66FF867C}">
                  <a14:compatExt spid="_x0000_s2518"/>
                </a:ext>
                <a:ext uri="{FF2B5EF4-FFF2-40B4-BE49-F238E27FC236}">
                  <a16:creationId xmlns:a16="http://schemas.microsoft.com/office/drawing/2014/main" id="{00000000-0008-0000-0100-0000D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53</xdr:row>
          <xdr:rowOff>47625</xdr:rowOff>
        </xdr:from>
        <xdr:to>
          <xdr:col>5</xdr:col>
          <xdr:colOff>28575</xdr:colOff>
          <xdr:row>53</xdr:row>
          <xdr:rowOff>266700</xdr:rowOff>
        </xdr:to>
        <xdr:sp macro="" textlink="">
          <xdr:nvSpPr>
            <xdr:cNvPr id="2519" name="Check Box 471" hidden="1">
              <a:extLst>
                <a:ext uri="{63B3BB69-23CF-44E3-9099-C40C66FF867C}">
                  <a14:compatExt spid="_x0000_s2519"/>
                </a:ext>
                <a:ext uri="{FF2B5EF4-FFF2-40B4-BE49-F238E27FC236}">
                  <a16:creationId xmlns:a16="http://schemas.microsoft.com/office/drawing/2014/main" id="{00000000-0008-0000-0100-0000D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54</xdr:row>
          <xdr:rowOff>47625</xdr:rowOff>
        </xdr:from>
        <xdr:to>
          <xdr:col>5</xdr:col>
          <xdr:colOff>28575</xdr:colOff>
          <xdr:row>54</xdr:row>
          <xdr:rowOff>266700</xdr:rowOff>
        </xdr:to>
        <xdr:sp macro="" textlink="">
          <xdr:nvSpPr>
            <xdr:cNvPr id="2520" name="Check Box 472" hidden="1">
              <a:extLst>
                <a:ext uri="{63B3BB69-23CF-44E3-9099-C40C66FF867C}">
                  <a14:compatExt spid="_x0000_s2520"/>
                </a:ext>
                <a:ext uri="{FF2B5EF4-FFF2-40B4-BE49-F238E27FC236}">
                  <a16:creationId xmlns:a16="http://schemas.microsoft.com/office/drawing/2014/main" id="{00000000-0008-0000-0100-0000D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55</xdr:row>
          <xdr:rowOff>47625</xdr:rowOff>
        </xdr:from>
        <xdr:to>
          <xdr:col>5</xdr:col>
          <xdr:colOff>28575</xdr:colOff>
          <xdr:row>56</xdr:row>
          <xdr:rowOff>9525</xdr:rowOff>
        </xdr:to>
        <xdr:sp macro="" textlink="">
          <xdr:nvSpPr>
            <xdr:cNvPr id="2521" name="Check Box 473" hidden="1">
              <a:extLst>
                <a:ext uri="{63B3BB69-23CF-44E3-9099-C40C66FF867C}">
                  <a14:compatExt spid="_x0000_s2521"/>
                </a:ext>
                <a:ext uri="{FF2B5EF4-FFF2-40B4-BE49-F238E27FC236}">
                  <a16:creationId xmlns:a16="http://schemas.microsoft.com/office/drawing/2014/main" id="{00000000-0008-0000-0100-0000D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8</xdr:row>
          <xdr:rowOff>219075</xdr:rowOff>
        </xdr:from>
        <xdr:to>
          <xdr:col>6</xdr:col>
          <xdr:colOff>1990725</xdr:colOff>
          <xdr:row>10</xdr:row>
          <xdr:rowOff>57150</xdr:rowOff>
        </xdr:to>
        <xdr:sp macro="" textlink="">
          <xdr:nvSpPr>
            <xdr:cNvPr id="2523" name="Button 475" hidden="1">
              <a:extLst>
                <a:ext uri="{63B3BB69-23CF-44E3-9099-C40C66FF867C}">
                  <a14:compatExt spid="_x0000_s2523"/>
                </a:ext>
                <a:ext uri="{FF2B5EF4-FFF2-40B4-BE49-F238E27FC236}">
                  <a16:creationId xmlns:a16="http://schemas.microsoft.com/office/drawing/2014/main" id="{00000000-0008-0000-0100-0000D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Audit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276226</xdr:colOff>
          <xdr:row>10</xdr:row>
          <xdr:rowOff>190500</xdr:rowOff>
        </xdr:from>
        <xdr:to>
          <xdr:col>6</xdr:col>
          <xdr:colOff>2028826</xdr:colOff>
          <xdr:row>11</xdr:row>
          <xdr:rowOff>76200</xdr:rowOff>
        </xdr:to>
        <xdr:sp macro="" textlink="">
          <xdr:nvSpPr>
            <xdr:cNvPr id="2524" name="Button 476" hidden="1">
              <a:extLst>
                <a:ext uri="{63B3BB69-23CF-44E3-9099-C40C66FF867C}">
                  <a14:compatExt spid="_x0000_s2524"/>
                </a:ext>
                <a:ext uri="{FF2B5EF4-FFF2-40B4-BE49-F238E27FC236}">
                  <a16:creationId xmlns:a16="http://schemas.microsoft.com/office/drawing/2014/main" id="{00000000-0008-0000-0100-0000D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Compare Audit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1:K21"/>
  <sheetViews>
    <sheetView showGridLines="0" zoomScaleNormal="100" zoomScaleSheetLayoutView="55" workbookViewId="0">
      <selection activeCell="L20" sqref="L20"/>
    </sheetView>
  </sheetViews>
  <sheetFormatPr defaultColWidth="8.85546875" defaultRowHeight="15" x14ac:dyDescent="0.25"/>
  <cols>
    <col min="1" max="2" width="8.85546875" style="1"/>
    <col min="3" max="3" width="16.5703125" style="1" customWidth="1"/>
    <col min="4" max="4" width="11.42578125" style="1" bestFit="1" customWidth="1"/>
    <col min="5" max="5" width="8.85546875" style="1"/>
    <col min="6" max="6" width="13.42578125" style="1" bestFit="1" customWidth="1"/>
    <col min="7" max="16384" width="8.85546875" style="1"/>
  </cols>
  <sheetData>
    <row r="11" spans="2:11" x14ac:dyDescent="0.25">
      <c r="D11" s="10" t="s">
        <v>0</v>
      </c>
      <c r="E11" s="2"/>
      <c r="F11" s="8"/>
      <c r="G11" s="8"/>
      <c r="H11" s="8"/>
      <c r="I11" s="8"/>
    </row>
    <row r="12" spans="2:11" x14ac:dyDescent="0.25">
      <c r="D12" s="3" t="s">
        <v>8</v>
      </c>
      <c r="E12" s="4"/>
      <c r="F12" s="9"/>
      <c r="G12" s="9"/>
      <c r="H12" s="9"/>
      <c r="I12" s="9"/>
    </row>
    <row r="13" spans="2:11" x14ac:dyDescent="0.25">
      <c r="D13" s="3" t="s">
        <v>2</v>
      </c>
      <c r="E13" s="4"/>
      <c r="F13" s="8"/>
      <c r="G13" s="8"/>
      <c r="H13" s="8"/>
      <c r="I13" s="8"/>
    </row>
    <row r="14" spans="2:11" x14ac:dyDescent="0.25">
      <c r="D14" s="3" t="s">
        <v>1</v>
      </c>
      <c r="E14" s="4"/>
      <c r="F14" s="15"/>
      <c r="G14" s="8"/>
      <c r="H14" s="8"/>
      <c r="I14" s="8"/>
    </row>
    <row r="16" spans="2:11" x14ac:dyDescent="0.25">
      <c r="B16" s="258" t="s">
        <v>3</v>
      </c>
      <c r="C16" s="259"/>
      <c r="D16" s="259"/>
      <c r="E16" s="259"/>
      <c r="F16" s="259"/>
      <c r="G16" s="259"/>
      <c r="H16" s="259"/>
      <c r="I16" s="259"/>
      <c r="J16" s="259"/>
      <c r="K16" s="260"/>
    </row>
    <row r="17" spans="2:11" x14ac:dyDescent="0.25">
      <c r="B17" s="5" t="s">
        <v>4</v>
      </c>
      <c r="C17" s="5" t="s">
        <v>5</v>
      </c>
      <c r="D17" s="5" t="s">
        <v>6</v>
      </c>
      <c r="E17" s="261" t="s">
        <v>7</v>
      </c>
      <c r="F17" s="261"/>
      <c r="G17" s="261"/>
      <c r="H17" s="261"/>
      <c r="I17" s="261"/>
      <c r="J17" s="261"/>
      <c r="K17" s="261"/>
    </row>
    <row r="18" spans="2:11" x14ac:dyDescent="0.25">
      <c r="B18" s="6"/>
      <c r="C18" s="7"/>
      <c r="D18" s="16"/>
      <c r="E18" s="257"/>
      <c r="F18" s="257"/>
      <c r="G18" s="257"/>
      <c r="H18" s="257"/>
      <c r="I18" s="257"/>
      <c r="J18" s="257"/>
      <c r="K18" s="257"/>
    </row>
    <row r="19" spans="2:11" ht="14.45" customHeight="1" x14ac:dyDescent="0.25">
      <c r="B19" s="6"/>
      <c r="C19" s="7"/>
      <c r="D19" s="16"/>
      <c r="E19" s="262"/>
      <c r="F19" s="263"/>
      <c r="G19" s="263"/>
      <c r="H19" s="263"/>
      <c r="I19" s="263"/>
      <c r="J19" s="263"/>
      <c r="K19" s="264"/>
    </row>
    <row r="20" spans="2:11" x14ac:dyDescent="0.25">
      <c r="B20" s="6"/>
      <c r="C20" s="7"/>
      <c r="D20" s="16"/>
      <c r="E20" s="262"/>
      <c r="F20" s="263"/>
      <c r="G20" s="263"/>
      <c r="H20" s="263"/>
      <c r="I20" s="263"/>
      <c r="J20" s="263"/>
      <c r="K20" s="264"/>
    </row>
    <row r="21" spans="2:11" x14ac:dyDescent="0.25">
      <c r="B21" s="6"/>
      <c r="C21" s="7"/>
      <c r="D21" s="16"/>
      <c r="E21" s="257"/>
      <c r="F21" s="257"/>
      <c r="G21" s="257"/>
      <c r="H21" s="257"/>
      <c r="I21" s="257"/>
      <c r="J21" s="257"/>
      <c r="K21" s="257"/>
    </row>
  </sheetData>
  <mergeCells count="6">
    <mergeCell ref="E21:K21"/>
    <mergeCell ref="B16:K16"/>
    <mergeCell ref="E17:K17"/>
    <mergeCell ref="E18:K18"/>
    <mergeCell ref="E19:K19"/>
    <mergeCell ref="E20:K20"/>
  </mergeCells>
  <dataValidations count="1">
    <dataValidation type="list" allowBlank="1" showInputMessage="1" showErrorMessage="1" sqref="G18:H18 G20:H21">
      <formula1>"Yes, No,-"</formula1>
    </dataValidation>
  </dataValidations>
  <pageMargins left="0.7" right="0.7" top="0.75" bottom="0.75" header="0.3" footer="0.3"/>
  <pageSetup paperSize="9" orientation="landscape" r:id="rId1"/>
  <headerFooter>
    <oddFooter>&amp;C&amp;1#&amp;"Arial"&amp;8 Nokia 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K56"/>
  <sheetViews>
    <sheetView showGridLines="0" tabSelected="1" zoomScaleNormal="100" workbookViewId="0">
      <selection activeCell="D1" sqref="D1"/>
    </sheetView>
  </sheetViews>
  <sheetFormatPr defaultColWidth="8.85546875" defaultRowHeight="15" x14ac:dyDescent="0.25"/>
  <cols>
    <col min="1" max="1" width="12" style="11" customWidth="1"/>
    <col min="2" max="2" width="28.5703125" style="11" bestFit="1" customWidth="1"/>
    <col min="3" max="3" width="5.5703125" style="11" bestFit="1" customWidth="1"/>
    <col min="4" max="4" width="21.140625" style="140" customWidth="1"/>
    <col min="5" max="5" width="6.42578125" style="221" customWidth="1"/>
    <col min="6" max="6" width="77" style="11" customWidth="1"/>
    <col min="7" max="7" width="41.5703125" style="11" bestFit="1" customWidth="1"/>
    <col min="8" max="9" width="8.85546875" style="11"/>
    <col min="10" max="10" width="6.28515625" style="11" hidden="1" customWidth="1"/>
    <col min="11" max="11" width="9" style="11" hidden="1" customWidth="1"/>
    <col min="12" max="16384" width="8.85546875" style="11"/>
  </cols>
  <sheetData>
    <row r="2" spans="1:7" x14ac:dyDescent="0.25">
      <c r="B2" s="13" t="s">
        <v>9</v>
      </c>
      <c r="C2" s="13" t="s">
        <v>10</v>
      </c>
      <c r="D2" s="137" t="s">
        <v>1146</v>
      </c>
      <c r="E2" s="220" t="s">
        <v>1342</v>
      </c>
      <c r="F2" s="13" t="s">
        <v>11</v>
      </c>
    </row>
    <row r="3" spans="1:7" s="12" customFormat="1" ht="22.5" x14ac:dyDescent="0.25">
      <c r="B3" s="17" t="s">
        <v>12</v>
      </c>
      <c r="C3" s="46" t="s">
        <v>741</v>
      </c>
      <c r="D3" s="224"/>
      <c r="E3" s="256"/>
      <c r="F3" s="14" t="s">
        <v>13</v>
      </c>
      <c r="G3"/>
    </row>
    <row r="4" spans="1:7" s="12" customFormat="1" ht="21.75" customHeight="1" x14ac:dyDescent="0.25">
      <c r="A4" s="11"/>
      <c r="B4" s="17" t="s">
        <v>17</v>
      </c>
      <c r="C4" s="45" t="s">
        <v>741</v>
      </c>
      <c r="D4" s="139"/>
      <c r="E4" s="256"/>
      <c r="F4" s="14" t="s">
        <v>18</v>
      </c>
      <c r="G4"/>
    </row>
    <row r="5" spans="1:7" s="12" customFormat="1" ht="25.5" customHeight="1" x14ac:dyDescent="0.25">
      <c r="A5" s="11"/>
      <c r="B5" s="17" t="s">
        <v>23</v>
      </c>
      <c r="C5" s="45" t="s">
        <v>741</v>
      </c>
      <c r="D5" s="139"/>
      <c r="E5" s="256"/>
      <c r="F5" s="14" t="s">
        <v>52</v>
      </c>
      <c r="G5"/>
    </row>
    <row r="6" spans="1:7" s="12" customFormat="1" ht="22.5" x14ac:dyDescent="0.25">
      <c r="A6" s="11"/>
      <c r="B6" s="17" t="s">
        <v>53</v>
      </c>
      <c r="C6" s="46" t="s">
        <v>741</v>
      </c>
      <c r="D6" s="139"/>
      <c r="E6" s="256"/>
      <c r="F6" s="14" t="s">
        <v>54</v>
      </c>
      <c r="G6"/>
    </row>
    <row r="7" spans="1:7" ht="18" customHeight="1" x14ac:dyDescent="0.25">
      <c r="B7" s="17" t="s">
        <v>56</v>
      </c>
      <c r="C7" s="45" t="s">
        <v>741</v>
      </c>
      <c r="D7" s="139"/>
      <c r="E7" s="256"/>
      <c r="F7" s="14" t="s">
        <v>57</v>
      </c>
      <c r="G7"/>
    </row>
    <row r="8" spans="1:7" ht="18" customHeight="1" x14ac:dyDescent="0.25">
      <c r="B8" s="17" t="s">
        <v>19</v>
      </c>
      <c r="C8" s="45" t="s">
        <v>741</v>
      </c>
      <c r="D8" s="139"/>
      <c r="E8" s="256"/>
      <c r="F8" s="14" t="s">
        <v>20</v>
      </c>
      <c r="G8"/>
    </row>
    <row r="9" spans="1:7" ht="19.5" customHeight="1" x14ac:dyDescent="0.25">
      <c r="B9" s="17" t="s">
        <v>30</v>
      </c>
      <c r="C9" s="46" t="s">
        <v>741</v>
      </c>
      <c r="D9" s="139"/>
      <c r="E9" s="256"/>
      <c r="F9" s="14" t="s">
        <v>61</v>
      </c>
      <c r="G9"/>
    </row>
    <row r="10" spans="1:7" ht="18.75" customHeight="1" x14ac:dyDescent="0.25">
      <c r="B10" s="17" t="s">
        <v>976</v>
      </c>
      <c r="C10" s="45" t="s">
        <v>741</v>
      </c>
      <c r="D10" s="139"/>
      <c r="E10" s="256"/>
      <c r="F10" s="14" t="s">
        <v>1003</v>
      </c>
      <c r="G10"/>
    </row>
    <row r="11" spans="1:7" ht="33.75" x14ac:dyDescent="0.25">
      <c r="A11" s="12"/>
      <c r="B11" s="222" t="s">
        <v>98</v>
      </c>
      <c r="C11" s="46" t="s">
        <v>741</v>
      </c>
      <c r="D11" s="139"/>
      <c r="E11" s="256"/>
      <c r="F11" s="138" t="s">
        <v>1315</v>
      </c>
      <c r="G11" s="44"/>
    </row>
    <row r="12" spans="1:7" ht="18.75" customHeight="1" x14ac:dyDescent="0.25">
      <c r="A12" s="12"/>
      <c r="B12" s="222" t="s">
        <v>40</v>
      </c>
      <c r="C12" s="45" t="s">
        <v>741</v>
      </c>
      <c r="D12" s="139"/>
      <c r="E12" s="256"/>
      <c r="F12" s="14" t="s">
        <v>41</v>
      </c>
      <c r="G12"/>
    </row>
    <row r="13" spans="1:7" ht="18.75" customHeight="1" x14ac:dyDescent="0.25">
      <c r="A13" s="12"/>
      <c r="B13" s="222" t="s">
        <v>42</v>
      </c>
      <c r="C13" s="45" t="s">
        <v>741</v>
      </c>
      <c r="D13" s="141"/>
      <c r="E13" s="256"/>
      <c r="F13" s="14" t="s">
        <v>42</v>
      </c>
      <c r="G13"/>
    </row>
    <row r="14" spans="1:7" ht="18" customHeight="1" x14ac:dyDescent="0.25">
      <c r="B14" s="222" t="s">
        <v>99</v>
      </c>
      <c r="C14" s="45" t="s">
        <v>741</v>
      </c>
      <c r="D14" s="141"/>
      <c r="E14" s="256"/>
      <c r="F14" s="14" t="s">
        <v>43</v>
      </c>
      <c r="G14"/>
    </row>
    <row r="15" spans="1:7" ht="19.5" customHeight="1" x14ac:dyDescent="0.25">
      <c r="B15" s="222" t="s">
        <v>44</v>
      </c>
      <c r="C15" s="45" t="s">
        <v>741</v>
      </c>
      <c r="D15" s="138"/>
      <c r="E15" s="256"/>
      <c r="F15" s="14" t="s">
        <v>45</v>
      </c>
      <c r="G15"/>
    </row>
    <row r="16" spans="1:7" ht="20.25" customHeight="1" x14ac:dyDescent="0.25">
      <c r="B16" s="222" t="s">
        <v>46</v>
      </c>
      <c r="C16" s="45" t="s">
        <v>741</v>
      </c>
      <c r="D16" s="138"/>
      <c r="E16" s="256"/>
      <c r="F16" s="14" t="s">
        <v>47</v>
      </c>
      <c r="G16"/>
    </row>
    <row r="17" spans="2:7" ht="22.5" x14ac:dyDescent="0.25">
      <c r="B17" s="222" t="s">
        <v>48</v>
      </c>
      <c r="C17" s="45" t="s">
        <v>741</v>
      </c>
      <c r="D17" s="138"/>
      <c r="E17" s="256"/>
      <c r="F17" s="14" t="s">
        <v>49</v>
      </c>
      <c r="G17"/>
    </row>
    <row r="18" spans="2:7" ht="22.5" x14ac:dyDescent="0.25">
      <c r="B18" s="222" t="s">
        <v>50</v>
      </c>
      <c r="C18" s="45" t="s">
        <v>741</v>
      </c>
      <c r="D18" s="138"/>
      <c r="E18" s="256"/>
      <c r="F18" s="14" t="s">
        <v>51</v>
      </c>
      <c r="G18"/>
    </row>
    <row r="19" spans="2:7" ht="21" customHeight="1" x14ac:dyDescent="0.25">
      <c r="B19" s="222" t="s">
        <v>55</v>
      </c>
      <c r="C19" s="46" t="s">
        <v>741</v>
      </c>
      <c r="D19" s="138"/>
      <c r="E19" s="256"/>
      <c r="F19" s="14" t="s">
        <v>55</v>
      </c>
      <c r="G19"/>
    </row>
    <row r="20" spans="2:7" ht="19.5" customHeight="1" x14ac:dyDescent="0.25">
      <c r="B20" s="222" t="s">
        <v>21</v>
      </c>
      <c r="C20" s="46" t="s">
        <v>741</v>
      </c>
      <c r="D20" s="138"/>
      <c r="E20" s="256"/>
      <c r="F20" s="14" t="s">
        <v>22</v>
      </c>
      <c r="G20"/>
    </row>
    <row r="21" spans="2:7" ht="18.75" customHeight="1" x14ac:dyDescent="0.25">
      <c r="B21" s="222" t="s">
        <v>58</v>
      </c>
      <c r="C21" s="46" t="s">
        <v>741</v>
      </c>
      <c r="D21" s="138"/>
      <c r="E21" s="256"/>
      <c r="F21" s="14" t="s">
        <v>58</v>
      </c>
      <c r="G21"/>
    </row>
    <row r="22" spans="2:7" ht="22.5" x14ac:dyDescent="0.25">
      <c r="B22" s="222" t="s">
        <v>100</v>
      </c>
      <c r="C22" s="45" t="s">
        <v>741</v>
      </c>
      <c r="D22" s="138"/>
      <c r="E22" s="256"/>
      <c r="F22" s="14" t="s">
        <v>59</v>
      </c>
      <c r="G22"/>
    </row>
    <row r="23" spans="2:7" ht="22.5" x14ac:dyDescent="0.25">
      <c r="B23" s="222" t="s">
        <v>103</v>
      </c>
      <c r="C23" s="45" t="s">
        <v>741</v>
      </c>
      <c r="D23" s="138"/>
      <c r="E23" s="256"/>
      <c r="F23" s="14" t="s">
        <v>60</v>
      </c>
      <c r="G23"/>
    </row>
    <row r="24" spans="2:7" x14ac:dyDescent="0.25">
      <c r="B24" s="222" t="s">
        <v>15</v>
      </c>
      <c r="C24" s="45" t="s">
        <v>741</v>
      </c>
      <c r="D24" s="223"/>
      <c r="E24" s="256"/>
      <c r="F24" s="14" t="s">
        <v>16</v>
      </c>
      <c r="G24"/>
    </row>
    <row r="25" spans="2:7" ht="22.5" x14ac:dyDescent="0.25">
      <c r="B25" s="222" t="s">
        <v>62</v>
      </c>
      <c r="C25" s="46" t="s">
        <v>741</v>
      </c>
      <c r="D25" s="138"/>
      <c r="E25" s="256"/>
      <c r="F25" s="14" t="s">
        <v>63</v>
      </c>
      <c r="G25"/>
    </row>
    <row r="26" spans="2:7" x14ac:dyDescent="0.25">
      <c r="B26" s="222" t="s">
        <v>64</v>
      </c>
      <c r="C26" s="45" t="s">
        <v>741</v>
      </c>
      <c r="D26" s="138"/>
      <c r="E26" s="256"/>
      <c r="F26" s="14" t="s">
        <v>65</v>
      </c>
      <c r="G26"/>
    </row>
    <row r="27" spans="2:7" ht="20.25" customHeight="1" x14ac:dyDescent="0.25">
      <c r="B27" s="222" t="s">
        <v>66</v>
      </c>
      <c r="C27" s="45" t="s">
        <v>741</v>
      </c>
      <c r="D27" s="138"/>
      <c r="E27" s="256"/>
      <c r="F27" s="14" t="s">
        <v>67</v>
      </c>
      <c r="G27"/>
    </row>
    <row r="28" spans="2:7" ht="21" customHeight="1" x14ac:dyDescent="0.25">
      <c r="B28" s="222" t="s">
        <v>68</v>
      </c>
      <c r="C28" s="45" t="s">
        <v>741</v>
      </c>
      <c r="D28" s="138"/>
      <c r="E28" s="256"/>
      <c r="F28" s="14" t="s">
        <v>69</v>
      </c>
      <c r="G28"/>
    </row>
    <row r="29" spans="2:7" ht="19.5" customHeight="1" x14ac:dyDescent="0.25">
      <c r="B29" s="222" t="s">
        <v>70</v>
      </c>
      <c r="C29" s="45" t="s">
        <v>741</v>
      </c>
      <c r="D29" s="138"/>
      <c r="E29" s="256"/>
      <c r="F29" s="14" t="s">
        <v>71</v>
      </c>
      <c r="G29"/>
    </row>
    <row r="30" spans="2:7" x14ac:dyDescent="0.25">
      <c r="B30" s="222" t="s">
        <v>72</v>
      </c>
      <c r="C30" s="45" t="s">
        <v>741</v>
      </c>
      <c r="D30" s="138"/>
      <c r="E30" s="256"/>
      <c r="F30" s="14" t="s">
        <v>73</v>
      </c>
      <c r="G30"/>
    </row>
    <row r="31" spans="2:7" x14ac:dyDescent="0.25">
      <c r="B31" s="222" t="s">
        <v>33</v>
      </c>
      <c r="C31" s="45" t="s">
        <v>741</v>
      </c>
      <c r="D31" s="138"/>
      <c r="E31" s="256"/>
      <c r="F31" s="14" t="s">
        <v>74</v>
      </c>
      <c r="G31"/>
    </row>
    <row r="32" spans="2:7" x14ac:dyDescent="0.25">
      <c r="B32" s="222" t="s">
        <v>75</v>
      </c>
      <c r="C32" s="45" t="s">
        <v>741</v>
      </c>
      <c r="D32" s="138"/>
      <c r="E32" s="256"/>
      <c r="F32" s="14" t="s">
        <v>31</v>
      </c>
      <c r="G32"/>
    </row>
    <row r="33" spans="2:7" ht="20.25" customHeight="1" x14ac:dyDescent="0.25">
      <c r="B33" s="222" t="s">
        <v>76</v>
      </c>
      <c r="C33" s="45" t="s">
        <v>741</v>
      </c>
      <c r="D33" s="138"/>
      <c r="E33" s="256"/>
      <c r="F33" s="14" t="s">
        <v>32</v>
      </c>
      <c r="G33"/>
    </row>
    <row r="34" spans="2:7" ht="20.25" customHeight="1" x14ac:dyDescent="0.25">
      <c r="B34" s="222" t="s">
        <v>101</v>
      </c>
      <c r="C34" s="45" t="s">
        <v>741</v>
      </c>
      <c r="D34" s="138"/>
      <c r="E34" s="256"/>
      <c r="F34" s="14" t="s">
        <v>77</v>
      </c>
      <c r="G34"/>
    </row>
    <row r="35" spans="2:7" ht="20.25" customHeight="1" x14ac:dyDescent="0.25">
      <c r="B35" s="222" t="s">
        <v>78</v>
      </c>
      <c r="C35" s="45" t="s">
        <v>741</v>
      </c>
      <c r="D35" s="138"/>
      <c r="E35" s="256"/>
      <c r="F35" s="14" t="s">
        <v>79</v>
      </c>
      <c r="G35"/>
    </row>
    <row r="36" spans="2:7" ht="18.75" customHeight="1" x14ac:dyDescent="0.25">
      <c r="B36" s="222" t="s">
        <v>80</v>
      </c>
      <c r="C36" s="45" t="s">
        <v>741</v>
      </c>
      <c r="D36" s="138"/>
      <c r="E36" s="256"/>
      <c r="F36" s="14" t="s">
        <v>81</v>
      </c>
      <c r="G36"/>
    </row>
    <row r="37" spans="2:7" x14ac:dyDescent="0.25">
      <c r="B37" s="222" t="s">
        <v>82</v>
      </c>
      <c r="C37" s="45" t="s">
        <v>741</v>
      </c>
      <c r="D37" s="138"/>
      <c r="E37" s="256"/>
      <c r="F37" s="14" t="s">
        <v>83</v>
      </c>
      <c r="G37"/>
    </row>
    <row r="38" spans="2:7" ht="20.25" customHeight="1" x14ac:dyDescent="0.25">
      <c r="B38" s="222" t="s">
        <v>84</v>
      </c>
      <c r="C38" s="45" t="s">
        <v>741</v>
      </c>
      <c r="D38" s="138"/>
      <c r="E38" s="256"/>
      <c r="F38" s="14" t="s">
        <v>85</v>
      </c>
      <c r="G38"/>
    </row>
    <row r="39" spans="2:7" ht="21" customHeight="1" x14ac:dyDescent="0.25">
      <c r="B39" s="222" t="s">
        <v>86</v>
      </c>
      <c r="C39" s="45" t="s">
        <v>741</v>
      </c>
      <c r="D39" s="138"/>
      <c r="E39" s="256"/>
      <c r="F39" s="14" t="s">
        <v>87</v>
      </c>
      <c r="G39"/>
    </row>
    <row r="40" spans="2:7" ht="21" customHeight="1" x14ac:dyDescent="0.25">
      <c r="B40" s="222" t="s">
        <v>88</v>
      </c>
      <c r="C40" s="45" t="s">
        <v>741</v>
      </c>
      <c r="D40" s="138"/>
      <c r="E40" s="256"/>
      <c r="F40" s="14" t="s">
        <v>89</v>
      </c>
      <c r="G40"/>
    </row>
    <row r="41" spans="2:7" x14ac:dyDescent="0.25">
      <c r="B41" s="222" t="s">
        <v>90</v>
      </c>
      <c r="C41" s="45" t="s">
        <v>741</v>
      </c>
      <c r="D41" s="138"/>
      <c r="E41" s="256"/>
      <c r="F41" s="14" t="s">
        <v>91</v>
      </c>
      <c r="G41"/>
    </row>
    <row r="42" spans="2:7" ht="22.5" x14ac:dyDescent="0.25">
      <c r="B42" s="222" t="s">
        <v>965</v>
      </c>
      <c r="C42" s="45" t="s">
        <v>741</v>
      </c>
      <c r="D42" s="138"/>
      <c r="E42" s="256"/>
      <c r="F42" s="14" t="s">
        <v>92</v>
      </c>
      <c r="G42"/>
    </row>
    <row r="43" spans="2:7" ht="19.5" customHeight="1" x14ac:dyDescent="0.25">
      <c r="B43" s="222" t="s">
        <v>966</v>
      </c>
      <c r="C43" s="45" t="s">
        <v>741</v>
      </c>
      <c r="D43" s="138"/>
      <c r="E43" s="256"/>
      <c r="F43" s="14" t="s">
        <v>93</v>
      </c>
      <c r="G43"/>
    </row>
    <row r="44" spans="2:7" ht="20.25" customHeight="1" x14ac:dyDescent="0.25">
      <c r="B44" s="222" t="s">
        <v>967</v>
      </c>
      <c r="C44" s="45" t="s">
        <v>741</v>
      </c>
      <c r="D44" s="138"/>
      <c r="E44" s="256"/>
      <c r="F44" s="14" t="s">
        <v>94</v>
      </c>
      <c r="G44"/>
    </row>
    <row r="45" spans="2:7" ht="20.25" customHeight="1" x14ac:dyDescent="0.25">
      <c r="B45" s="222" t="s">
        <v>968</v>
      </c>
      <c r="C45" s="45" t="s">
        <v>741</v>
      </c>
      <c r="D45" s="138"/>
      <c r="E45" s="256"/>
      <c r="F45" s="14" t="s">
        <v>28</v>
      </c>
      <c r="G45"/>
    </row>
    <row r="46" spans="2:7" ht="18" customHeight="1" x14ac:dyDescent="0.25">
      <c r="B46" s="222" t="s">
        <v>969</v>
      </c>
      <c r="C46" s="45" t="s">
        <v>741</v>
      </c>
      <c r="D46" s="138"/>
      <c r="E46" s="256"/>
      <c r="F46" s="14" t="s">
        <v>95</v>
      </c>
      <c r="G46" s="18"/>
    </row>
    <row r="47" spans="2:7" ht="22.5" customHeight="1" x14ac:dyDescent="0.25">
      <c r="B47" s="222" t="s">
        <v>970</v>
      </c>
      <c r="C47" s="45" t="s">
        <v>741</v>
      </c>
      <c r="D47" s="138"/>
      <c r="E47" s="256"/>
      <c r="F47" s="14" t="s">
        <v>25</v>
      </c>
      <c r="G47"/>
    </row>
    <row r="48" spans="2:7" ht="20.25" customHeight="1" x14ac:dyDescent="0.25">
      <c r="B48" s="222" t="s">
        <v>971</v>
      </c>
      <c r="C48" s="45" t="s">
        <v>741</v>
      </c>
      <c r="D48" s="138"/>
      <c r="E48" s="256"/>
      <c r="F48" s="14" t="s">
        <v>96</v>
      </c>
      <c r="G48"/>
    </row>
    <row r="49" spans="2:7" ht="18.75" customHeight="1" x14ac:dyDescent="0.25">
      <c r="B49" s="222" t="s">
        <v>972</v>
      </c>
      <c r="C49" s="45" t="s">
        <v>741</v>
      </c>
      <c r="D49" s="138"/>
      <c r="E49" s="256"/>
      <c r="F49" s="14" t="s">
        <v>97</v>
      </c>
      <c r="G49"/>
    </row>
    <row r="50" spans="2:7" ht="18" customHeight="1" x14ac:dyDescent="0.25">
      <c r="B50" s="222" t="s">
        <v>973</v>
      </c>
      <c r="C50" s="45" t="s">
        <v>741</v>
      </c>
      <c r="D50" s="138"/>
      <c r="E50" s="256"/>
      <c r="F50" s="14"/>
      <c r="G50"/>
    </row>
    <row r="51" spans="2:7" ht="21" customHeight="1" x14ac:dyDescent="0.25">
      <c r="B51" s="222" t="s">
        <v>974</v>
      </c>
      <c r="C51" s="45" t="s">
        <v>741</v>
      </c>
      <c r="D51" s="138"/>
      <c r="E51" s="256"/>
      <c r="F51" s="14"/>
      <c r="G51"/>
    </row>
    <row r="52" spans="2:7" ht="20.25" customHeight="1" x14ac:dyDescent="0.25">
      <c r="B52" s="222" t="s">
        <v>975</v>
      </c>
      <c r="C52" s="45" t="s">
        <v>741</v>
      </c>
      <c r="D52" s="138"/>
      <c r="E52" s="256"/>
      <c r="F52" s="14"/>
      <c r="G52"/>
    </row>
    <row r="53" spans="2:7" ht="21" customHeight="1" x14ac:dyDescent="0.25">
      <c r="B53" s="222" t="s">
        <v>977</v>
      </c>
      <c r="C53" s="45" t="s">
        <v>741</v>
      </c>
      <c r="D53" s="138"/>
      <c r="E53" s="256"/>
      <c r="F53" s="14"/>
      <c r="G53"/>
    </row>
    <row r="54" spans="2:7" ht="21.75" customHeight="1" x14ac:dyDescent="0.25">
      <c r="B54" s="222" t="s">
        <v>1018</v>
      </c>
      <c r="C54" s="45" t="s">
        <v>741</v>
      </c>
      <c r="D54" s="138"/>
      <c r="E54" s="256"/>
      <c r="F54" s="14"/>
      <c r="G54"/>
    </row>
    <row r="55" spans="2:7" ht="21.75" customHeight="1" x14ac:dyDescent="0.25">
      <c r="B55" s="222" t="s">
        <v>978</v>
      </c>
      <c r="C55" s="45" t="s">
        <v>741</v>
      </c>
      <c r="D55" s="138"/>
      <c r="E55" s="256"/>
      <c r="F55" s="14"/>
      <c r="G55"/>
    </row>
    <row r="56" spans="2:7" ht="20.25" customHeight="1" x14ac:dyDescent="0.25">
      <c r="B56" s="222" t="s">
        <v>979</v>
      </c>
      <c r="C56" s="45" t="s">
        <v>741</v>
      </c>
      <c r="D56" s="138"/>
      <c r="E56" s="256"/>
      <c r="F56" s="14"/>
      <c r="G56"/>
    </row>
  </sheetData>
  <sortState ref="B3:F20">
    <sortCondition ref="B3:B20"/>
  </sortState>
  <dataValidations count="1">
    <dataValidation type="list" allowBlank="1" showInputMessage="1" showErrorMessage="1" sqref="C3:C56">
      <formula1>"no,yes"</formula1>
    </dataValidation>
  </dataValidations>
  <hyperlinks>
    <hyperlink ref="B3" location="BearerCapabilitySet!A1" display="BearerCapabilitySet!A1"/>
    <hyperlink ref="B11" location="DCsi!A1" display="DCsi!A1"/>
    <hyperlink ref="B12" location="GprsCsi!A1" display="GprsCsi!A1"/>
    <hyperlink ref="B13" location="LocationServicesProfile!A1" display="LocationServicesProfile!A1"/>
    <hyperlink ref="B14" location="MCsi!A1" display="MCsi!A1"/>
    <hyperlink ref="B15" location="MgCsi!A1" display="MgCsi!A1"/>
    <hyperlink ref="B16" location="MtSmsCsi!A1" display="MtSmsCsi!A1"/>
    <hyperlink ref="B17" location="MultipleSubscriberProfiles!A1" display="MultipleSubscriberProfiles!A1"/>
    <hyperlink ref="B4" location="OCsi!A1" display="OCsi!A1"/>
    <hyperlink ref="B18" location="ProhibitedForwardedToNumbers!A1" display="ProhibitedForwardedToNumbers!A1"/>
    <hyperlink ref="B5" location="QualityOfServiceProfile!A1" display="QualityOfServiceProfile!A1"/>
    <hyperlink ref="B6" location="RoamingArea!A1" display="RoamingArea!A1"/>
    <hyperlink ref="B19" location="ShortCodeTranslation!A1" display="ShortCodeTranslation!A1"/>
    <hyperlink ref="B7" location="SmsCsi!A1" display="SmsCsi!A1"/>
    <hyperlink ref="B20" location="SsCsi!A1" display="SsCsi!A1"/>
    <hyperlink ref="B21" location="SubscriberRelatedRoutingData!A1" display="SubscriberRelatedRoutingData!A1"/>
    <hyperlink ref="B8" location="TCsi!A1" display="TCsi!A1"/>
    <hyperlink ref="B22" location="UCsi!A1" display="UCsi!A1"/>
    <hyperlink ref="B23" location="UCsiExt!A1" display="UCsiExt!A1"/>
    <hyperlink ref="B9" location="UgCsi!A1" display="UgCsi!A1"/>
    <hyperlink ref="B24" location="UgCsiExt!A1" display="UgCsiExt!A1"/>
    <hyperlink ref="B25" location="VoiceMailSystem!A1" display="VoiceMailSystem!A1"/>
    <hyperlink ref="B26" location="VtCsi!A1" display="VtCsi!A1"/>
    <hyperlink ref="B27" location="ExtOICK!A1" display="ExtOICK!A1"/>
    <hyperlink ref="B28" location="ExtOINCI!A1" display="ExtOINCI!A1"/>
    <hyperlink ref="B29" location="ExtTICK!A1" display="ExtTICK!A1"/>
    <hyperlink ref="B30" location="ExtTINCI!A1" display="ExtTINCI!A1"/>
    <hyperlink ref="B31" location="INSMS!A1" display="INSMS!A1"/>
    <hyperlink ref="B32" location="OICK!A1" display="OICK!A1"/>
    <hyperlink ref="B33" location="TICK!A1" display="TICK!A1"/>
    <hyperlink ref="B34" location="UssdAdvt!A1" display="UssdAdvt!A1"/>
    <hyperlink ref="B35" location="RoamSubscriptionInfo!A1" display="RoamSubscriptionInfo!A1"/>
    <hyperlink ref="B36" location="RoamPlan!A1" display="RoamPlan!A1"/>
    <hyperlink ref="B47" location="SmsPriorityList!A1" display="SmsPriorityList"/>
    <hyperlink ref="B37" location="BSPlan!A1" display="BSPlan!A1"/>
    <hyperlink ref="B38" location="SSPlan!A1" display="SSPlan!A1"/>
    <hyperlink ref="B39" location="ODBPlan!A1" display="ODBPlan!A1"/>
    <hyperlink ref="B40" location="CSIPlan!A1" display="CSIPlan!A1"/>
    <hyperlink ref="B41" location="GMLC!A1" display="GMLC!A1"/>
    <hyperlink ref="B42" location="AddressList!A1" display="AddressList"/>
    <hyperlink ref="B43" location="EMOICKProfile!A1" display="EMOICKProfile"/>
    <hyperlink ref="B44" location="NbrRule!A1" display="NbrRule"/>
    <hyperlink ref="B45" location="NbrRuleSet!A1" display="NbrRuleSet"/>
    <hyperlink ref="B46" location="NbrTranslation!A1" display="NbrTranslation"/>
    <hyperlink ref="B48" location="SSetProfile!A1" display="SSetProfile"/>
    <hyperlink ref="B49" location="CSITreatment!A1" display="CSITreatment"/>
    <hyperlink ref="B50" location="CategoryTreatment!A1" display="CategoryTreatment"/>
    <hyperlink ref="B51" location="PSTreatment!A1" display="PSTreatment"/>
    <hyperlink ref="B52" location="ServicePlan!A1" display="ServicePlan"/>
    <hyperlink ref="B53" location="FraudProfile!A1" display="FraudProfile"/>
    <hyperlink ref="B54" location="FraudObservation!A1" display="FraudObservation"/>
    <hyperlink ref="B55" location="FTNOData!A1" display="FTNOData"/>
    <hyperlink ref="B56" location="FTNOProfile!A1" display="FTNOProfile"/>
    <hyperlink ref="B10" location="PDPContext!A1" display="PDPContext"/>
    <hyperlink ref="D13"/>
  </hyperlinks>
  <pageMargins left="0.7" right="0.7" top="0.75" bottom="0.75" header="0.3" footer="0.3"/>
  <pageSetup paperSize="9" orientation="landscape" r:id="rId1"/>
  <headerFooter>
    <oddFooter>&amp;C&amp;1#&amp;"Arial"&amp;8 Nokia 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inSpmlGenerator.MainSpmlGenerator">
                <anchor moveWithCells="1" sizeWithCells="1">
                  <from>
                    <xdr:col>6</xdr:col>
                    <xdr:colOff>266700</xdr:colOff>
                    <xdr:row>7</xdr:row>
                    <xdr:rowOff>9525</xdr:rowOff>
                  </from>
                  <to>
                    <xdr:col>6</xdr:col>
                    <xdr:colOff>1971675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ValidationTool.ValidationTool">
                <anchor moveWithCells="1" sizeWithCells="1">
                  <from>
                    <xdr:col>6</xdr:col>
                    <xdr:colOff>266700</xdr:colOff>
                    <xdr:row>4</xdr:row>
                    <xdr:rowOff>95250</xdr:rowOff>
                  </from>
                  <to>
                    <xdr:col>6</xdr:col>
                    <xdr:colOff>1943100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CustomerVersion.CustomerVersion">
                <anchor moveWithCells="1" sizeWithCells="1">
                  <from>
                    <xdr:col>6</xdr:col>
                    <xdr:colOff>266700</xdr:colOff>
                    <xdr:row>5</xdr:row>
                    <xdr:rowOff>209550</xdr:rowOff>
                  </from>
                  <to>
                    <xdr:col>6</xdr:col>
                    <xdr:colOff>1943100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GenerateXMLsheet.GenerateXMLsheet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" name="Button 2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9" name="Button 21">
              <controlPr defaultSize="0" print="0" autoFill="0" autoPict="0" macro="[0]!GenerateXMLsheet.GenerateXMLsheet">
                <anchor moveWithCells="1" siz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0" name="Button 2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1" name="Button 2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2" name="Button 2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3" name="Button 2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5" name="Button 2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6" name="Button 2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7" name="Button 2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8" name="Button 3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9" name="Button 3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0" name="Button 3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1" name="Button 3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2" name="Button 3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3" name="Button 3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4" name="Button 3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5" name="Button 3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6" name="Button 3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7" name="Button 3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8" name="Button 4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9" name="Button 4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30" name="Button 4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1" name="Button 4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2" name="Button 4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3" name="Button 4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4" name="Button 4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5" name="Button 4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6" name="Button 4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7" name="Button 4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8" name="Button 5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9" name="Button 5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40" name="Button 5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1" name="Button 5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2" name="Button 5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3" name="Button 5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4" name="Button 5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5" name="Button 5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6" name="Button 5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7" name="Button 5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8" name="Button 6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9" name="Button 6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50" name="Button 6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1" name="Button 6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2" name="Button 6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3" name="Button 6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4" name="Button 6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5" name="Button 6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6" name="Button 6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7" name="Button 6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8" name="Button 7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9" name="Button 7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60" name="Button 7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1" name="Button 7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62" name="Button 148">
              <controlPr defaultSize="0" print="0" autoFill="0" autoPict="0" macro="[0]!createNokiaMap">
                <anchor moveWithCells="1" sizeWithCells="1">
                  <from>
                    <xdr:col>6</xdr:col>
                    <xdr:colOff>247650</xdr:colOff>
                    <xdr:row>2</xdr:row>
                    <xdr:rowOff>257175</xdr:rowOff>
                  </from>
                  <to>
                    <xdr:col>6</xdr:col>
                    <xdr:colOff>1924050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63" name="Check Box 31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</xdr:row>
                    <xdr:rowOff>47625</xdr:rowOff>
                  </from>
                  <to>
                    <xdr:col>5</xdr:col>
                    <xdr:colOff>28575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" r:id="rId64" name="Check Box 42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28575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" r:id="rId65" name="Check Box 42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</xdr:row>
                    <xdr:rowOff>47625</xdr:rowOff>
                  </from>
                  <to>
                    <xdr:col>5</xdr:col>
                    <xdr:colOff>28575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" r:id="rId66" name="Check Box 42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</xdr:row>
                    <xdr:rowOff>47625</xdr:rowOff>
                  </from>
                  <to>
                    <xdr:col>5</xdr:col>
                    <xdr:colOff>28575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" r:id="rId67" name="Check Box 42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6</xdr:row>
                    <xdr:rowOff>47625</xdr:rowOff>
                  </from>
                  <to>
                    <xdr:col>5</xdr:col>
                    <xdr:colOff>28575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" r:id="rId68" name="Check Box 42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7</xdr:row>
                    <xdr:rowOff>47625</xdr:rowOff>
                  </from>
                  <to>
                    <xdr:col>5</xdr:col>
                    <xdr:colOff>28575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" r:id="rId69" name="Check Box 42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8</xdr:row>
                    <xdr:rowOff>47625</xdr:rowOff>
                  </from>
                  <to>
                    <xdr:col>5</xdr:col>
                    <xdr:colOff>28575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" r:id="rId70" name="Check Box 42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9</xdr:row>
                    <xdr:rowOff>47625</xdr:rowOff>
                  </from>
                  <to>
                    <xdr:col>5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71" name="Check Box 42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10</xdr:row>
                    <xdr:rowOff>47625</xdr:rowOff>
                  </from>
                  <to>
                    <xdr:col>5</xdr:col>
                    <xdr:colOff>28575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" r:id="rId72" name="Check Box 42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11</xdr:row>
                    <xdr:rowOff>47625</xdr:rowOff>
                  </from>
                  <to>
                    <xdr:col>5</xdr:col>
                    <xdr:colOff>28575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73" name="Check Box 43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12</xdr:row>
                    <xdr:rowOff>47625</xdr:rowOff>
                  </from>
                  <to>
                    <xdr:col>5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74" name="Check Box 43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13</xdr:row>
                    <xdr:rowOff>47625</xdr:rowOff>
                  </from>
                  <to>
                    <xdr:col>5</xdr:col>
                    <xdr:colOff>28575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75" name="Check Box 43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14</xdr:row>
                    <xdr:rowOff>47625</xdr:rowOff>
                  </from>
                  <to>
                    <xdr:col>5</xdr:col>
                    <xdr:colOff>28575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76" name="Check Box 43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15</xdr:row>
                    <xdr:rowOff>47625</xdr:rowOff>
                  </from>
                  <to>
                    <xdr:col>5</xdr:col>
                    <xdr:colOff>28575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77" name="Check Box 43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16</xdr:row>
                    <xdr:rowOff>47625</xdr:rowOff>
                  </from>
                  <to>
                    <xdr:col>5</xdr:col>
                    <xdr:colOff>28575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78" name="Check Box 43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17</xdr:row>
                    <xdr:rowOff>47625</xdr:rowOff>
                  </from>
                  <to>
                    <xdr:col>5</xdr:col>
                    <xdr:colOff>28575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" r:id="rId79" name="Check Box 43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18</xdr:row>
                    <xdr:rowOff>47625</xdr:rowOff>
                  </from>
                  <to>
                    <xdr:col>5</xdr:col>
                    <xdr:colOff>28575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" r:id="rId80" name="Check Box 43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19</xdr:row>
                    <xdr:rowOff>47625</xdr:rowOff>
                  </from>
                  <to>
                    <xdr:col>5</xdr:col>
                    <xdr:colOff>28575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" r:id="rId81" name="Check Box 43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20</xdr:row>
                    <xdr:rowOff>47625</xdr:rowOff>
                  </from>
                  <to>
                    <xdr:col>5</xdr:col>
                    <xdr:colOff>28575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" r:id="rId82" name="Check Box 43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21</xdr:row>
                    <xdr:rowOff>47625</xdr:rowOff>
                  </from>
                  <to>
                    <xdr:col>5</xdr:col>
                    <xdr:colOff>28575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" r:id="rId83" name="Check Box 44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22</xdr:row>
                    <xdr:rowOff>47625</xdr:rowOff>
                  </from>
                  <to>
                    <xdr:col>5</xdr:col>
                    <xdr:colOff>28575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" r:id="rId84" name="Check Box 44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23</xdr:row>
                    <xdr:rowOff>47625</xdr:rowOff>
                  </from>
                  <to>
                    <xdr:col>5</xdr:col>
                    <xdr:colOff>28575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" r:id="rId85" name="Check Box 44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24</xdr:row>
                    <xdr:rowOff>47625</xdr:rowOff>
                  </from>
                  <to>
                    <xdr:col>5</xdr:col>
                    <xdr:colOff>28575</xdr:colOff>
                    <xdr:row>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" r:id="rId86" name="Check Box 44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25</xdr:row>
                    <xdr:rowOff>47625</xdr:rowOff>
                  </from>
                  <to>
                    <xdr:col>5</xdr:col>
                    <xdr:colOff>28575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" r:id="rId87" name="Check Box 44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26</xdr:row>
                    <xdr:rowOff>47625</xdr:rowOff>
                  </from>
                  <to>
                    <xdr:col>5</xdr:col>
                    <xdr:colOff>28575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" r:id="rId88" name="Check Box 44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27</xdr:row>
                    <xdr:rowOff>47625</xdr:rowOff>
                  </from>
                  <to>
                    <xdr:col>5</xdr:col>
                    <xdr:colOff>28575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" r:id="rId89" name="Check Box 44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28</xdr:row>
                    <xdr:rowOff>47625</xdr:rowOff>
                  </from>
                  <to>
                    <xdr:col>5</xdr:col>
                    <xdr:colOff>28575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" r:id="rId90" name="Check Box 44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29</xdr:row>
                    <xdr:rowOff>47625</xdr:rowOff>
                  </from>
                  <to>
                    <xdr:col>5</xdr:col>
                    <xdr:colOff>28575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" r:id="rId91" name="Check Box 44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30</xdr:row>
                    <xdr:rowOff>47625</xdr:rowOff>
                  </from>
                  <to>
                    <xdr:col>5</xdr:col>
                    <xdr:colOff>28575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" r:id="rId92" name="Check Box 44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31</xdr:row>
                    <xdr:rowOff>47625</xdr:rowOff>
                  </from>
                  <to>
                    <xdr:col>5</xdr:col>
                    <xdr:colOff>28575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" r:id="rId93" name="Check Box 45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32</xdr:row>
                    <xdr:rowOff>47625</xdr:rowOff>
                  </from>
                  <to>
                    <xdr:col>5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" r:id="rId94" name="Check Box 45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33</xdr:row>
                    <xdr:rowOff>47625</xdr:rowOff>
                  </from>
                  <to>
                    <xdr:col>5</xdr:col>
                    <xdr:colOff>28575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" r:id="rId95" name="Check Box 45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34</xdr:row>
                    <xdr:rowOff>47625</xdr:rowOff>
                  </from>
                  <to>
                    <xdr:col>5</xdr:col>
                    <xdr:colOff>28575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" r:id="rId96" name="Check Box 45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35</xdr:row>
                    <xdr:rowOff>47625</xdr:rowOff>
                  </from>
                  <to>
                    <xdr:col>5</xdr:col>
                    <xdr:colOff>28575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" r:id="rId97" name="Check Box 45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36</xdr:row>
                    <xdr:rowOff>47625</xdr:rowOff>
                  </from>
                  <to>
                    <xdr:col>5</xdr:col>
                    <xdr:colOff>28575</xdr:colOff>
                    <xdr:row>37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" r:id="rId98" name="Check Box 45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37</xdr:row>
                    <xdr:rowOff>47625</xdr:rowOff>
                  </from>
                  <to>
                    <xdr:col>5</xdr:col>
                    <xdr:colOff>28575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" r:id="rId99" name="Check Box 45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38</xdr:row>
                    <xdr:rowOff>47625</xdr:rowOff>
                  </from>
                  <to>
                    <xdr:col>5</xdr:col>
                    <xdr:colOff>28575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" r:id="rId100" name="Check Box 45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39</xdr:row>
                    <xdr:rowOff>47625</xdr:rowOff>
                  </from>
                  <to>
                    <xdr:col>5</xdr:col>
                    <xdr:colOff>28575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" r:id="rId101" name="Check Box 45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40</xdr:row>
                    <xdr:rowOff>47625</xdr:rowOff>
                  </from>
                  <to>
                    <xdr:col>5</xdr:col>
                    <xdr:colOff>28575</xdr:colOff>
                    <xdr:row>41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" r:id="rId102" name="Check Box 45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41</xdr:row>
                    <xdr:rowOff>47625</xdr:rowOff>
                  </from>
                  <to>
                    <xdr:col>5</xdr:col>
                    <xdr:colOff>28575</xdr:colOff>
                    <xdr:row>41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" r:id="rId103" name="Check Box 46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42</xdr:row>
                    <xdr:rowOff>47625</xdr:rowOff>
                  </from>
                  <to>
                    <xdr:col>5</xdr:col>
                    <xdr:colOff>28575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" r:id="rId104" name="Check Box 46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43</xdr:row>
                    <xdr:rowOff>47625</xdr:rowOff>
                  </from>
                  <to>
                    <xdr:col>5</xdr:col>
                    <xdr:colOff>28575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" r:id="rId105" name="Check Box 46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44</xdr:row>
                    <xdr:rowOff>47625</xdr:rowOff>
                  </from>
                  <to>
                    <xdr:col>5</xdr:col>
                    <xdr:colOff>28575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" r:id="rId106" name="Check Box 46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45</xdr:row>
                    <xdr:rowOff>47625</xdr:rowOff>
                  </from>
                  <to>
                    <xdr:col>5</xdr:col>
                    <xdr:colOff>28575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" r:id="rId107" name="Check Box 46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46</xdr:row>
                    <xdr:rowOff>47625</xdr:rowOff>
                  </from>
                  <to>
                    <xdr:col>5</xdr:col>
                    <xdr:colOff>28575</xdr:colOff>
                    <xdr:row>46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" r:id="rId108" name="Check Box 46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47</xdr:row>
                    <xdr:rowOff>47625</xdr:rowOff>
                  </from>
                  <to>
                    <xdr:col>5</xdr:col>
                    <xdr:colOff>28575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" r:id="rId109" name="Check Box 46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48</xdr:row>
                    <xdr:rowOff>47625</xdr:rowOff>
                  </from>
                  <to>
                    <xdr:col>5</xdr:col>
                    <xdr:colOff>28575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" r:id="rId110" name="Check Box 46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49</xdr:row>
                    <xdr:rowOff>47625</xdr:rowOff>
                  </from>
                  <to>
                    <xdr:col>5</xdr:col>
                    <xdr:colOff>28575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" r:id="rId111" name="Check Box 46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50</xdr:row>
                    <xdr:rowOff>47625</xdr:rowOff>
                  </from>
                  <to>
                    <xdr:col>5</xdr:col>
                    <xdr:colOff>28575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" r:id="rId112" name="Check Box 46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51</xdr:row>
                    <xdr:rowOff>47625</xdr:rowOff>
                  </from>
                  <to>
                    <xdr:col>5</xdr:col>
                    <xdr:colOff>28575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" r:id="rId113" name="Check Box 47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52</xdr:row>
                    <xdr:rowOff>47625</xdr:rowOff>
                  </from>
                  <to>
                    <xdr:col>5</xdr:col>
                    <xdr:colOff>28575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" r:id="rId114" name="Check Box 47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53</xdr:row>
                    <xdr:rowOff>47625</xdr:rowOff>
                  </from>
                  <to>
                    <xdr:col>5</xdr:col>
                    <xdr:colOff>28575</xdr:colOff>
                    <xdr:row>53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" r:id="rId115" name="Check Box 47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54</xdr:row>
                    <xdr:rowOff>47625</xdr:rowOff>
                  </from>
                  <to>
                    <xdr:col>5</xdr:col>
                    <xdr:colOff>28575</xdr:colOff>
                    <xdr:row>54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" r:id="rId116" name="Check Box 47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55</xdr:row>
                    <xdr:rowOff>47625</xdr:rowOff>
                  </from>
                  <to>
                    <xdr:col>5</xdr:col>
                    <xdr:colOff>28575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" r:id="rId117" name="Button 475">
              <controlPr defaultSize="0" print="0" autoFill="0" autoPict="0" macro="[0]!GenerateAuditFiles_Click">
                <anchor moveWithCells="1" sizeWithCells="1">
                  <from>
                    <xdr:col>6</xdr:col>
                    <xdr:colOff>276225</xdr:colOff>
                    <xdr:row>8</xdr:row>
                    <xdr:rowOff>219075</xdr:rowOff>
                  </from>
                  <to>
                    <xdr:col>6</xdr:col>
                    <xdr:colOff>1990725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" r:id="rId118" name="Button 476">
              <controlPr defaultSize="0" print="0" autoFill="0" autoPict="0" macro="[0]!CompareAuditFiles_Click">
                <anchor moveWithCells="1" sizeWithCells="1">
                  <from>
                    <xdr:col>6</xdr:col>
                    <xdr:colOff>276225</xdr:colOff>
                    <xdr:row>10</xdr:row>
                    <xdr:rowOff>190500</xdr:rowOff>
                  </from>
                  <to>
                    <xdr:col>6</xdr:col>
                    <xdr:colOff>2028825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86"/>
  <sheetViews>
    <sheetView workbookViewId="0">
      <pane ySplit="2" topLeftCell="A46" activePane="bottomLeft" state="frozen"/>
      <selection pane="bottomLeft" activeCell="F60" sqref="F60"/>
    </sheetView>
  </sheetViews>
  <sheetFormatPr defaultColWidth="8.85546875" defaultRowHeight="12.75" x14ac:dyDescent="0.25"/>
  <cols>
    <col min="1" max="1" width="23.7109375" style="169" customWidth="1"/>
    <col min="2" max="2" width="8.85546875" style="169"/>
    <col min="3" max="3" width="24.85546875" style="169" bestFit="1" customWidth="1"/>
    <col min="4" max="4" width="8.85546875" style="174"/>
    <col min="5" max="5" width="15.28515625" style="169" customWidth="1"/>
    <col min="6" max="6" width="71.42578125" style="169" bestFit="1" customWidth="1"/>
    <col min="7" max="7" width="8.85546875" style="169"/>
    <col min="8" max="8" width="61.28515625" style="169" customWidth="1"/>
    <col min="9" max="16384" width="8.85546875" style="169"/>
  </cols>
  <sheetData>
    <row r="1" spans="1:8" ht="38.25" x14ac:dyDescent="0.25">
      <c r="A1" s="166" t="s">
        <v>1028</v>
      </c>
      <c r="B1" s="167" t="s">
        <v>23</v>
      </c>
      <c r="C1" s="166" t="s">
        <v>1172</v>
      </c>
      <c r="D1" s="168"/>
    </row>
    <row r="2" spans="1:8" ht="25.5" x14ac:dyDescent="0.25">
      <c r="A2" s="166" t="s">
        <v>1030</v>
      </c>
      <c r="B2" s="166" t="s">
        <v>1031</v>
      </c>
      <c r="C2" s="170" t="s">
        <v>1032</v>
      </c>
      <c r="D2" s="171" t="s">
        <v>1033</v>
      </c>
      <c r="E2" s="170" t="s">
        <v>1034</v>
      </c>
      <c r="F2" s="170" t="s">
        <v>1035</v>
      </c>
    </row>
    <row r="3" spans="1:8" x14ac:dyDescent="0.25">
      <c r="A3" s="172" t="s">
        <v>126</v>
      </c>
      <c r="B3" s="173" t="s">
        <v>1036</v>
      </c>
      <c r="C3" s="173" t="s">
        <v>1173</v>
      </c>
      <c r="D3" s="174">
        <v>0</v>
      </c>
      <c r="E3" s="175" t="s">
        <v>1038</v>
      </c>
      <c r="F3" s="176" t="s">
        <v>1038</v>
      </c>
    </row>
    <row r="4" spans="1:8" x14ac:dyDescent="0.25">
      <c r="A4" s="265" t="s">
        <v>208</v>
      </c>
      <c r="B4" s="268" t="s">
        <v>1036</v>
      </c>
      <c r="C4" s="271" t="s">
        <v>1174</v>
      </c>
      <c r="D4" s="274" t="s">
        <v>1070</v>
      </c>
      <c r="E4" s="177" t="s">
        <v>1175</v>
      </c>
      <c r="F4" s="108" t="s">
        <v>1082</v>
      </c>
      <c r="H4" s="178"/>
    </row>
    <row r="5" spans="1:8" x14ac:dyDescent="0.25">
      <c r="A5" s="266"/>
      <c r="B5" s="269"/>
      <c r="C5" s="272"/>
      <c r="D5" s="275"/>
      <c r="E5" s="179" t="s">
        <v>1176</v>
      </c>
      <c r="F5" s="109" t="s">
        <v>744</v>
      </c>
      <c r="H5" s="178"/>
    </row>
    <row r="6" spans="1:8" x14ac:dyDescent="0.25">
      <c r="A6" s="267"/>
      <c r="B6" s="270"/>
      <c r="C6" s="273"/>
      <c r="D6" s="276"/>
      <c r="E6" s="180" t="s">
        <v>1177</v>
      </c>
      <c r="F6" s="110" t="s">
        <v>752</v>
      </c>
      <c r="H6" s="178"/>
    </row>
    <row r="7" spans="1:8" x14ac:dyDescent="0.25">
      <c r="A7" s="265" t="s">
        <v>205</v>
      </c>
      <c r="B7" s="268" t="s">
        <v>1036</v>
      </c>
      <c r="C7" s="268" t="s">
        <v>205</v>
      </c>
      <c r="D7" s="277">
        <v>0</v>
      </c>
      <c r="E7" s="177" t="s">
        <v>1178</v>
      </c>
      <c r="F7" s="108" t="s">
        <v>1179</v>
      </c>
    </row>
    <row r="8" spans="1:8" x14ac:dyDescent="0.25">
      <c r="A8" s="266"/>
      <c r="B8" s="269"/>
      <c r="C8" s="269"/>
      <c r="D8" s="278"/>
      <c r="E8" s="179" t="s">
        <v>1180</v>
      </c>
      <c r="F8" s="109" t="s">
        <v>286</v>
      </c>
    </row>
    <row r="9" spans="1:8" x14ac:dyDescent="0.25">
      <c r="A9" s="266"/>
      <c r="B9" s="269"/>
      <c r="C9" s="269"/>
      <c r="D9" s="278"/>
      <c r="E9" s="179" t="s">
        <v>1181</v>
      </c>
      <c r="F9" s="109" t="s">
        <v>1182</v>
      </c>
    </row>
    <row r="10" spans="1:8" x14ac:dyDescent="0.25">
      <c r="A10" s="267"/>
      <c r="B10" s="270"/>
      <c r="C10" s="270"/>
      <c r="D10" s="279"/>
      <c r="E10" s="180" t="s">
        <v>1183</v>
      </c>
      <c r="F10" s="110" t="s">
        <v>287</v>
      </c>
    </row>
    <row r="11" spans="1:8" x14ac:dyDescent="0.25">
      <c r="A11" s="265" t="s">
        <v>207</v>
      </c>
      <c r="B11" s="268" t="s">
        <v>1036</v>
      </c>
      <c r="C11" s="268" t="s">
        <v>207</v>
      </c>
      <c r="D11" s="277">
        <v>0</v>
      </c>
      <c r="E11" s="177" t="s">
        <v>1184</v>
      </c>
      <c r="F11" s="108" t="s">
        <v>1185</v>
      </c>
    </row>
    <row r="12" spans="1:8" x14ac:dyDescent="0.25">
      <c r="A12" s="266"/>
      <c r="B12" s="269"/>
      <c r="C12" s="269"/>
      <c r="D12" s="278"/>
      <c r="E12" s="179" t="s">
        <v>1186</v>
      </c>
      <c r="F12" s="109" t="s">
        <v>1187</v>
      </c>
    </row>
    <row r="13" spans="1:8" x14ac:dyDescent="0.25">
      <c r="A13" s="266"/>
      <c r="B13" s="269"/>
      <c r="C13" s="269"/>
      <c r="D13" s="278"/>
      <c r="E13" s="179" t="s">
        <v>1188</v>
      </c>
      <c r="F13" s="109" t="s">
        <v>1189</v>
      </c>
    </row>
    <row r="14" spans="1:8" x14ac:dyDescent="0.25">
      <c r="A14" s="266"/>
      <c r="B14" s="269"/>
      <c r="C14" s="269"/>
      <c r="D14" s="278"/>
      <c r="E14" s="179" t="s">
        <v>1190</v>
      </c>
      <c r="F14" s="109" t="s">
        <v>1191</v>
      </c>
    </row>
    <row r="15" spans="1:8" x14ac:dyDescent="0.25">
      <c r="A15" s="267"/>
      <c r="B15" s="270"/>
      <c r="C15" s="270"/>
      <c r="D15" s="279"/>
      <c r="E15" s="180" t="s">
        <v>1192</v>
      </c>
      <c r="F15" s="110" t="s">
        <v>1193</v>
      </c>
    </row>
    <row r="16" spans="1:8" x14ac:dyDescent="0.25">
      <c r="A16" s="265" t="s">
        <v>284</v>
      </c>
      <c r="B16" s="268" t="s">
        <v>1036</v>
      </c>
      <c r="C16" s="268" t="s">
        <v>1194</v>
      </c>
      <c r="D16" s="277">
        <v>0</v>
      </c>
      <c r="E16" s="177" t="s">
        <v>1195</v>
      </c>
      <c r="F16" s="108">
        <v>8</v>
      </c>
    </row>
    <row r="17" spans="1:6" x14ac:dyDescent="0.25">
      <c r="A17" s="266"/>
      <c r="B17" s="269"/>
      <c r="C17" s="269"/>
      <c r="D17" s="278"/>
      <c r="E17" s="179" t="s">
        <v>1196</v>
      </c>
      <c r="F17" s="109">
        <v>16</v>
      </c>
    </row>
    <row r="18" spans="1:6" x14ac:dyDescent="0.25">
      <c r="A18" s="266"/>
      <c r="B18" s="269"/>
      <c r="C18" s="269"/>
      <c r="D18" s="278"/>
      <c r="E18" s="179" t="s">
        <v>1197</v>
      </c>
      <c r="F18" s="109">
        <v>32</v>
      </c>
    </row>
    <row r="19" spans="1:6" x14ac:dyDescent="0.25">
      <c r="A19" s="266"/>
      <c r="B19" s="269"/>
      <c r="C19" s="269"/>
      <c r="D19" s="278"/>
      <c r="E19" s="179" t="s">
        <v>1198</v>
      </c>
      <c r="F19" s="109">
        <v>64</v>
      </c>
    </row>
    <row r="20" spans="1:6" x14ac:dyDescent="0.25">
      <c r="A20" s="266"/>
      <c r="B20" s="269"/>
      <c r="C20" s="269"/>
      <c r="D20" s="278"/>
      <c r="E20" s="179" t="s">
        <v>1199</v>
      </c>
      <c r="F20" s="109">
        <v>128</v>
      </c>
    </row>
    <row r="21" spans="1:6" x14ac:dyDescent="0.25">
      <c r="A21" s="266"/>
      <c r="B21" s="269"/>
      <c r="C21" s="269"/>
      <c r="D21" s="278"/>
      <c r="E21" s="179" t="s">
        <v>1200</v>
      </c>
      <c r="F21" s="109">
        <v>256</v>
      </c>
    </row>
    <row r="22" spans="1:6" x14ac:dyDescent="0.25">
      <c r="A22" s="266"/>
      <c r="B22" s="269"/>
      <c r="C22" s="269"/>
      <c r="D22" s="278"/>
      <c r="E22" s="179" t="s">
        <v>1201</v>
      </c>
      <c r="F22" s="109">
        <v>512</v>
      </c>
    </row>
    <row r="23" spans="1:6" x14ac:dyDescent="0.25">
      <c r="A23" s="266"/>
      <c r="B23" s="269"/>
      <c r="C23" s="269"/>
      <c r="D23" s="278"/>
      <c r="E23" s="179" t="s">
        <v>1202</v>
      </c>
      <c r="F23" s="109">
        <v>1024</v>
      </c>
    </row>
    <row r="24" spans="1:6" ht="15" customHeight="1" x14ac:dyDescent="0.25">
      <c r="A24" s="267"/>
      <c r="B24" s="270"/>
      <c r="C24" s="270"/>
      <c r="D24" s="279"/>
      <c r="E24" s="180" t="s">
        <v>1203</v>
      </c>
      <c r="F24" s="110">
        <v>2048</v>
      </c>
    </row>
    <row r="25" spans="1:6" x14ac:dyDescent="0.25">
      <c r="A25" s="265" t="s">
        <v>204</v>
      </c>
      <c r="B25" s="268" t="s">
        <v>1036</v>
      </c>
      <c r="C25" s="268" t="s">
        <v>204</v>
      </c>
      <c r="D25" s="277">
        <v>0</v>
      </c>
      <c r="E25" s="177" t="s">
        <v>1316</v>
      </c>
      <c r="F25" s="108" t="s">
        <v>1182</v>
      </c>
    </row>
    <row r="26" spans="1:6" x14ac:dyDescent="0.25">
      <c r="A26" s="266"/>
      <c r="B26" s="269"/>
      <c r="C26" s="269"/>
      <c r="D26" s="278"/>
      <c r="E26" s="179" t="s">
        <v>1317</v>
      </c>
      <c r="F26" s="109" t="s">
        <v>286</v>
      </c>
    </row>
    <row r="27" spans="1:6" x14ac:dyDescent="0.25">
      <c r="A27" s="267"/>
      <c r="B27" s="270"/>
      <c r="C27" s="270"/>
      <c r="D27" s="279"/>
      <c r="E27" s="180" t="s">
        <v>1318</v>
      </c>
      <c r="F27" s="110" t="s">
        <v>1179</v>
      </c>
    </row>
    <row r="28" spans="1:6" x14ac:dyDescent="0.25">
      <c r="A28" s="280" t="s">
        <v>206</v>
      </c>
      <c r="B28" s="283" t="s">
        <v>1036</v>
      </c>
      <c r="C28" s="283" t="s">
        <v>1204</v>
      </c>
      <c r="D28" s="286">
        <v>0</v>
      </c>
      <c r="E28" s="181" t="s">
        <v>1205</v>
      </c>
      <c r="F28" s="100">
        <v>0.22</v>
      </c>
    </row>
    <row r="29" spans="1:6" x14ac:dyDescent="0.25">
      <c r="A29" s="281"/>
      <c r="B29" s="284"/>
      <c r="C29" s="284"/>
      <c r="D29" s="287"/>
      <c r="E29" s="182" t="s">
        <v>1206</v>
      </c>
      <c r="F29" s="101">
        <v>0.44</v>
      </c>
    </row>
    <row r="30" spans="1:6" x14ac:dyDescent="0.25">
      <c r="A30" s="281"/>
      <c r="B30" s="284"/>
      <c r="C30" s="284"/>
      <c r="D30" s="287"/>
      <c r="E30" s="182" t="s">
        <v>1207</v>
      </c>
      <c r="F30" s="101">
        <v>1.1100000000000001</v>
      </c>
    </row>
    <row r="31" spans="1:6" x14ac:dyDescent="0.25">
      <c r="A31" s="281"/>
      <c r="B31" s="284"/>
      <c r="C31" s="284"/>
      <c r="D31" s="287"/>
      <c r="E31" s="182" t="s">
        <v>1208</v>
      </c>
      <c r="F31" s="101">
        <v>2.2000000000000002</v>
      </c>
    </row>
    <row r="32" spans="1:6" x14ac:dyDescent="0.25">
      <c r="A32" s="281"/>
      <c r="B32" s="284"/>
      <c r="C32" s="284"/>
      <c r="D32" s="287"/>
      <c r="E32" s="182" t="s">
        <v>1209</v>
      </c>
      <c r="F32" s="101">
        <v>4.4000000000000004</v>
      </c>
    </row>
    <row r="33" spans="1:6" x14ac:dyDescent="0.25">
      <c r="A33" s="281"/>
      <c r="B33" s="284"/>
      <c r="C33" s="284"/>
      <c r="D33" s="287"/>
      <c r="E33" s="182" t="s">
        <v>1210</v>
      </c>
      <c r="F33" s="101">
        <v>11</v>
      </c>
    </row>
    <row r="34" spans="1:6" x14ac:dyDescent="0.25">
      <c r="A34" s="281"/>
      <c r="B34" s="284"/>
      <c r="C34" s="284"/>
      <c r="D34" s="287"/>
      <c r="E34" s="182" t="s">
        <v>1211</v>
      </c>
      <c r="F34" s="101">
        <v>22</v>
      </c>
    </row>
    <row r="35" spans="1:6" x14ac:dyDescent="0.25">
      <c r="A35" s="281"/>
      <c r="B35" s="284"/>
      <c r="C35" s="284"/>
      <c r="D35" s="287"/>
      <c r="E35" s="182" t="s">
        <v>1212</v>
      </c>
      <c r="F35" s="101">
        <v>44</v>
      </c>
    </row>
    <row r="36" spans="1:6" x14ac:dyDescent="0.25">
      <c r="A36" s="281"/>
      <c r="B36" s="284"/>
      <c r="C36" s="284"/>
      <c r="D36" s="287"/>
      <c r="E36" s="182" t="s">
        <v>1213</v>
      </c>
      <c r="F36" s="101">
        <v>111</v>
      </c>
    </row>
    <row r="37" spans="1:6" x14ac:dyDescent="0.25">
      <c r="A37" s="281"/>
      <c r="B37" s="284"/>
      <c r="C37" s="284"/>
      <c r="D37" s="287"/>
      <c r="E37" s="182" t="s">
        <v>1214</v>
      </c>
      <c r="F37" s="101">
        <v>222</v>
      </c>
    </row>
    <row r="38" spans="1:6" x14ac:dyDescent="0.25">
      <c r="A38" s="281"/>
      <c r="B38" s="284"/>
      <c r="C38" s="284"/>
      <c r="D38" s="287"/>
      <c r="E38" s="182" t="s">
        <v>1215</v>
      </c>
      <c r="F38" s="101">
        <v>444</v>
      </c>
    </row>
    <row r="39" spans="1:6" x14ac:dyDescent="0.25">
      <c r="A39" s="281"/>
      <c r="B39" s="284"/>
      <c r="C39" s="284"/>
      <c r="D39" s="287"/>
      <c r="E39" s="182" t="s">
        <v>1216</v>
      </c>
      <c r="F39" s="101" t="s">
        <v>1217</v>
      </c>
    </row>
    <row r="40" spans="1:6" x14ac:dyDescent="0.25">
      <c r="A40" s="281"/>
      <c r="B40" s="284"/>
      <c r="C40" s="284"/>
      <c r="D40" s="287"/>
      <c r="E40" s="182" t="s">
        <v>1218</v>
      </c>
      <c r="F40" s="101" t="s">
        <v>1219</v>
      </c>
    </row>
    <row r="41" spans="1:6" x14ac:dyDescent="0.25">
      <c r="A41" s="281"/>
      <c r="B41" s="284"/>
      <c r="C41" s="284"/>
      <c r="D41" s="287"/>
      <c r="E41" s="182" t="s">
        <v>1220</v>
      </c>
      <c r="F41" s="101" t="s">
        <v>1221</v>
      </c>
    </row>
    <row r="42" spans="1:6" x14ac:dyDescent="0.25">
      <c r="A42" s="281"/>
      <c r="B42" s="284"/>
      <c r="C42" s="284"/>
      <c r="D42" s="287"/>
      <c r="E42" s="182" t="s">
        <v>1222</v>
      </c>
      <c r="F42" s="101" t="s">
        <v>1223</v>
      </c>
    </row>
    <row r="43" spans="1:6" x14ac:dyDescent="0.25">
      <c r="A43" s="281"/>
      <c r="B43" s="284"/>
      <c r="C43" s="284"/>
      <c r="D43" s="287"/>
      <c r="E43" s="182" t="s">
        <v>1224</v>
      </c>
      <c r="F43" s="101" t="s">
        <v>1225</v>
      </c>
    </row>
    <row r="44" spans="1:6" x14ac:dyDescent="0.25">
      <c r="A44" s="281"/>
      <c r="B44" s="284"/>
      <c r="C44" s="284"/>
      <c r="D44" s="287"/>
      <c r="E44" s="182" t="s">
        <v>1226</v>
      </c>
      <c r="F44" s="101" t="s">
        <v>1227</v>
      </c>
    </row>
    <row r="45" spans="1:6" x14ac:dyDescent="0.25">
      <c r="A45" s="281"/>
      <c r="B45" s="284"/>
      <c r="C45" s="284"/>
      <c r="D45" s="287"/>
      <c r="E45" s="182" t="s">
        <v>1228</v>
      </c>
      <c r="F45" s="101" t="s">
        <v>1229</v>
      </c>
    </row>
    <row r="46" spans="1:6" x14ac:dyDescent="0.25">
      <c r="A46" s="282"/>
      <c r="B46" s="285"/>
      <c r="C46" s="285"/>
      <c r="D46" s="288"/>
      <c r="E46" s="183" t="s">
        <v>1230</v>
      </c>
      <c r="F46" s="102" t="s">
        <v>1231</v>
      </c>
    </row>
    <row r="47" spans="1:6" x14ac:dyDescent="0.25">
      <c r="A47" s="265" t="s">
        <v>225</v>
      </c>
      <c r="B47" s="268" t="s">
        <v>1036</v>
      </c>
      <c r="C47" s="268" t="s">
        <v>225</v>
      </c>
      <c r="D47" s="277" t="s">
        <v>1070</v>
      </c>
      <c r="E47" s="177" t="s">
        <v>1232</v>
      </c>
      <c r="F47" s="108" t="s">
        <v>1233</v>
      </c>
    </row>
    <row r="48" spans="1:6" x14ac:dyDescent="0.25">
      <c r="A48" s="266"/>
      <c r="B48" s="269"/>
      <c r="C48" s="269"/>
      <c r="D48" s="278"/>
      <c r="E48" s="179" t="s">
        <v>1234</v>
      </c>
      <c r="F48" s="109" t="s">
        <v>1235</v>
      </c>
    </row>
    <row r="49" spans="1:8" x14ac:dyDescent="0.25">
      <c r="A49" s="266"/>
      <c r="B49" s="269"/>
      <c r="C49" s="269"/>
      <c r="D49" s="278"/>
      <c r="E49" s="179" t="s">
        <v>1236</v>
      </c>
      <c r="F49" s="109" t="s">
        <v>1237</v>
      </c>
    </row>
    <row r="50" spans="1:8" x14ac:dyDescent="0.25">
      <c r="A50" s="267"/>
      <c r="B50" s="270"/>
      <c r="C50" s="270"/>
      <c r="D50" s="279"/>
      <c r="E50" s="180" t="s">
        <v>1238</v>
      </c>
      <c r="F50" s="110" t="s">
        <v>1239</v>
      </c>
    </row>
    <row r="51" spans="1:8" x14ac:dyDescent="0.25">
      <c r="A51" s="265" t="s">
        <v>209</v>
      </c>
      <c r="B51" s="268" t="s">
        <v>1036</v>
      </c>
      <c r="C51" s="268" t="s">
        <v>209</v>
      </c>
      <c r="D51" s="277" t="s">
        <v>1070</v>
      </c>
      <c r="E51" s="177" t="s">
        <v>1240</v>
      </c>
      <c r="F51" s="108" t="b">
        <v>1</v>
      </c>
    </row>
    <row r="52" spans="1:8" x14ac:dyDescent="0.25">
      <c r="A52" s="267"/>
      <c r="B52" s="270"/>
      <c r="C52" s="270"/>
      <c r="D52" s="279"/>
      <c r="E52" s="180" t="s">
        <v>1052</v>
      </c>
      <c r="F52" s="110" t="b">
        <v>0</v>
      </c>
    </row>
    <row r="53" spans="1:8" ht="24" customHeight="1" x14ac:dyDescent="0.25">
      <c r="A53" s="265" t="s">
        <v>210</v>
      </c>
      <c r="B53" s="268" t="s">
        <v>1036</v>
      </c>
      <c r="C53" s="268" t="s">
        <v>1241</v>
      </c>
      <c r="D53" s="277" t="s">
        <v>1070</v>
      </c>
      <c r="E53" s="177" t="s">
        <v>1242</v>
      </c>
      <c r="F53" s="108" t="s">
        <v>290</v>
      </c>
    </row>
    <row r="54" spans="1:8" x14ac:dyDescent="0.25">
      <c r="A54" s="266"/>
      <c r="B54" s="269"/>
      <c r="C54" s="269"/>
      <c r="D54" s="278"/>
      <c r="E54" s="179" t="s">
        <v>1240</v>
      </c>
      <c r="F54" s="109" t="s">
        <v>1243</v>
      </c>
      <c r="H54" s="184"/>
    </row>
    <row r="55" spans="1:8" x14ac:dyDescent="0.25">
      <c r="A55" s="267"/>
      <c r="B55" s="270"/>
      <c r="C55" s="270"/>
      <c r="D55" s="279"/>
      <c r="E55" s="180" t="s">
        <v>1052</v>
      </c>
      <c r="F55" s="110" t="s">
        <v>288</v>
      </c>
    </row>
    <row r="56" spans="1:8" x14ac:dyDescent="0.25">
      <c r="A56" s="185" t="s">
        <v>212</v>
      </c>
      <c r="B56" s="186" t="s">
        <v>1036</v>
      </c>
      <c r="C56" s="187" t="s">
        <v>1244</v>
      </c>
      <c r="D56" s="189" t="s">
        <v>1070</v>
      </c>
      <c r="E56" s="188" t="s">
        <v>1102</v>
      </c>
      <c r="F56" s="118" t="s">
        <v>1319</v>
      </c>
      <c r="H56" s="184"/>
    </row>
    <row r="57" spans="1:8" ht="25.5" x14ac:dyDescent="0.25">
      <c r="A57" s="30" t="s">
        <v>219</v>
      </c>
      <c r="B57" s="186" t="s">
        <v>1036</v>
      </c>
      <c r="C57" s="187" t="s">
        <v>1245</v>
      </c>
      <c r="D57" s="189" t="s">
        <v>1070</v>
      </c>
      <c r="E57" s="188" t="s">
        <v>1102</v>
      </c>
      <c r="F57" s="118" t="s">
        <v>1246</v>
      </c>
      <c r="H57" s="184"/>
    </row>
    <row r="58" spans="1:8" ht="25.5" x14ac:dyDescent="0.25">
      <c r="A58" s="190" t="s">
        <v>213</v>
      </c>
      <c r="B58" s="187" t="s">
        <v>1036</v>
      </c>
      <c r="C58" s="187" t="s">
        <v>1245</v>
      </c>
      <c r="D58" s="189" t="s">
        <v>1070</v>
      </c>
      <c r="E58" s="188" t="s">
        <v>1247</v>
      </c>
      <c r="F58" s="118" t="s">
        <v>1248</v>
      </c>
    </row>
    <row r="59" spans="1:8" ht="25.5" x14ac:dyDescent="0.25">
      <c r="A59" s="190" t="s">
        <v>214</v>
      </c>
      <c r="B59" s="187" t="s">
        <v>1036</v>
      </c>
      <c r="C59" s="187" t="s">
        <v>1249</v>
      </c>
      <c r="D59" s="189" t="s">
        <v>1070</v>
      </c>
      <c r="E59" s="188" t="s">
        <v>1247</v>
      </c>
      <c r="F59" s="118" t="s">
        <v>1250</v>
      </c>
      <c r="H59" s="184"/>
    </row>
    <row r="60" spans="1:8" ht="25.5" x14ac:dyDescent="0.25">
      <c r="A60" s="190" t="s">
        <v>218</v>
      </c>
      <c r="B60" s="187" t="s">
        <v>1036</v>
      </c>
      <c r="C60" s="187" t="s">
        <v>1249</v>
      </c>
      <c r="D60" s="189" t="s">
        <v>1070</v>
      </c>
      <c r="E60" s="188" t="s">
        <v>1102</v>
      </c>
      <c r="F60" s="118" t="s">
        <v>1251</v>
      </c>
    </row>
    <row r="61" spans="1:8" x14ac:dyDescent="0.25">
      <c r="A61" s="265" t="s">
        <v>221</v>
      </c>
      <c r="B61" s="268" t="s">
        <v>1036</v>
      </c>
      <c r="C61" s="271" t="s">
        <v>1252</v>
      </c>
      <c r="D61" s="277" t="s">
        <v>1070</v>
      </c>
      <c r="E61" s="177" t="s">
        <v>1253</v>
      </c>
      <c r="F61" s="108" t="s">
        <v>1254</v>
      </c>
    </row>
    <row r="62" spans="1:8" x14ac:dyDescent="0.25">
      <c r="A62" s="266"/>
      <c r="B62" s="269"/>
      <c r="C62" s="269"/>
      <c r="D62" s="278"/>
      <c r="E62" s="177" t="s">
        <v>1255</v>
      </c>
      <c r="F62" s="108" t="s">
        <v>1256</v>
      </c>
    </row>
    <row r="63" spans="1:8" x14ac:dyDescent="0.25">
      <c r="A63" s="266"/>
      <c r="B63" s="269"/>
      <c r="C63" s="269"/>
      <c r="D63" s="278"/>
      <c r="E63" s="177" t="s">
        <v>1257</v>
      </c>
      <c r="F63" s="108" t="s">
        <v>1258</v>
      </c>
    </row>
    <row r="64" spans="1:8" x14ac:dyDescent="0.25">
      <c r="A64" s="266"/>
      <c r="B64" s="269"/>
      <c r="C64" s="269"/>
      <c r="D64" s="278"/>
      <c r="E64" s="177" t="s">
        <v>1259</v>
      </c>
      <c r="F64" s="108" t="s">
        <v>1260</v>
      </c>
    </row>
    <row r="65" spans="1:8" x14ac:dyDescent="0.25">
      <c r="A65" s="266"/>
      <c r="B65" s="269"/>
      <c r="C65" s="269"/>
      <c r="D65" s="278"/>
      <c r="E65" s="177" t="s">
        <v>1261</v>
      </c>
      <c r="F65" s="108" t="s">
        <v>1262</v>
      </c>
    </row>
    <row r="66" spans="1:8" x14ac:dyDescent="0.25">
      <c r="A66" s="266"/>
      <c r="B66" s="269"/>
      <c r="C66" s="269"/>
      <c r="D66" s="278"/>
      <c r="E66" s="177" t="s">
        <v>1263</v>
      </c>
      <c r="F66" s="108" t="s">
        <v>226</v>
      </c>
    </row>
    <row r="67" spans="1:8" x14ac:dyDescent="0.25">
      <c r="A67" s="266"/>
      <c r="B67" s="269"/>
      <c r="C67" s="269"/>
      <c r="D67" s="278"/>
      <c r="E67" s="177" t="s">
        <v>1264</v>
      </c>
      <c r="F67" s="108" t="s">
        <v>1265</v>
      </c>
    </row>
    <row r="68" spans="1:8" x14ac:dyDescent="0.25">
      <c r="A68" s="266"/>
      <c r="B68" s="269"/>
      <c r="C68" s="269"/>
      <c r="D68" s="278"/>
      <c r="E68" s="177" t="s">
        <v>1266</v>
      </c>
      <c r="F68" s="108" t="s">
        <v>1267</v>
      </c>
    </row>
    <row r="69" spans="1:8" x14ac:dyDescent="0.25">
      <c r="A69" s="267"/>
      <c r="B69" s="270"/>
      <c r="C69" s="270"/>
      <c r="D69" s="279"/>
      <c r="E69" s="177" t="s">
        <v>1268</v>
      </c>
      <c r="F69" s="108" t="s">
        <v>1269</v>
      </c>
    </row>
    <row r="70" spans="1:8" x14ac:dyDescent="0.25">
      <c r="A70" s="265" t="s">
        <v>222</v>
      </c>
      <c r="B70" s="268" t="s">
        <v>1036</v>
      </c>
      <c r="C70" s="271" t="s">
        <v>1270</v>
      </c>
      <c r="D70" s="277" t="s">
        <v>1070</v>
      </c>
      <c r="E70" s="177" t="s">
        <v>1271</v>
      </c>
      <c r="F70" s="108" t="s">
        <v>1256</v>
      </c>
    </row>
    <row r="71" spans="1:8" x14ac:dyDescent="0.25">
      <c r="A71" s="266"/>
      <c r="B71" s="269"/>
      <c r="C71" s="269"/>
      <c r="D71" s="278"/>
      <c r="E71" s="177" t="s">
        <v>1272</v>
      </c>
      <c r="F71" s="108" t="s">
        <v>1273</v>
      </c>
    </row>
    <row r="72" spans="1:8" x14ac:dyDescent="0.25">
      <c r="A72" s="266"/>
      <c r="B72" s="269"/>
      <c r="C72" s="269"/>
      <c r="D72" s="278"/>
      <c r="E72" s="177" t="s">
        <v>1274</v>
      </c>
      <c r="F72" s="108" t="s">
        <v>1262</v>
      </c>
    </row>
    <row r="73" spans="1:8" x14ac:dyDescent="0.25">
      <c r="A73" s="266"/>
      <c r="B73" s="269"/>
      <c r="C73" s="269"/>
      <c r="D73" s="278"/>
      <c r="E73" s="177" t="s">
        <v>1275</v>
      </c>
      <c r="F73" s="108" t="s">
        <v>226</v>
      </c>
    </row>
    <row r="74" spans="1:8" x14ac:dyDescent="0.25">
      <c r="A74" s="266"/>
      <c r="B74" s="269"/>
      <c r="C74" s="269"/>
      <c r="D74" s="278"/>
      <c r="E74" s="177" t="s">
        <v>1276</v>
      </c>
      <c r="F74" s="108" t="s">
        <v>1265</v>
      </c>
    </row>
    <row r="75" spans="1:8" x14ac:dyDescent="0.25">
      <c r="A75" s="266"/>
      <c r="B75" s="269"/>
      <c r="C75" s="269"/>
      <c r="D75" s="278"/>
      <c r="E75" s="177" t="s">
        <v>1277</v>
      </c>
      <c r="F75" s="108" t="s">
        <v>1267</v>
      </c>
    </row>
    <row r="76" spans="1:8" x14ac:dyDescent="0.25">
      <c r="A76" s="267"/>
      <c r="B76" s="270"/>
      <c r="C76" s="270"/>
      <c r="D76" s="279"/>
      <c r="E76" s="177" t="s">
        <v>1278</v>
      </c>
      <c r="F76" s="108" t="s">
        <v>1279</v>
      </c>
    </row>
    <row r="77" spans="1:8" ht="38.25" x14ac:dyDescent="0.25">
      <c r="A77" s="190" t="s">
        <v>223</v>
      </c>
      <c r="B77" s="187" t="s">
        <v>1036</v>
      </c>
      <c r="C77" s="187" t="s">
        <v>223</v>
      </c>
      <c r="D77" s="189" t="s">
        <v>1070</v>
      </c>
      <c r="E77" s="188" t="s">
        <v>1102</v>
      </c>
      <c r="F77" s="118" t="s">
        <v>1280</v>
      </c>
      <c r="H77" s="178" t="s">
        <v>1281</v>
      </c>
    </row>
    <row r="78" spans="1:8" x14ac:dyDescent="0.25">
      <c r="A78" s="265" t="s">
        <v>224</v>
      </c>
      <c r="B78" s="268" t="s">
        <v>1036</v>
      </c>
      <c r="C78" s="268" t="s">
        <v>224</v>
      </c>
      <c r="D78" s="277" t="s">
        <v>1070</v>
      </c>
      <c r="E78" s="177" t="s">
        <v>1282</v>
      </c>
      <c r="F78" s="108" t="s">
        <v>1283</v>
      </c>
    </row>
    <row r="79" spans="1:8" x14ac:dyDescent="0.25">
      <c r="A79" s="266"/>
      <c r="B79" s="269"/>
      <c r="C79" s="269"/>
      <c r="D79" s="278"/>
      <c r="E79" s="179" t="s">
        <v>1284</v>
      </c>
      <c r="F79" s="109" t="s">
        <v>1285</v>
      </c>
    </row>
    <row r="80" spans="1:8" x14ac:dyDescent="0.25">
      <c r="A80" s="267"/>
      <c r="B80" s="270"/>
      <c r="C80" s="270"/>
      <c r="D80" s="279"/>
      <c r="E80" s="180" t="s">
        <v>1286</v>
      </c>
      <c r="F80" s="110" t="s">
        <v>289</v>
      </c>
    </row>
    <row r="81" spans="1:6" ht="25.5" x14ac:dyDescent="0.25">
      <c r="A81" s="190" t="s">
        <v>215</v>
      </c>
      <c r="B81" s="187" t="s">
        <v>1036</v>
      </c>
      <c r="C81" s="187" t="s">
        <v>1287</v>
      </c>
      <c r="D81" s="189" t="s">
        <v>1070</v>
      </c>
      <c r="E81" s="188" t="s">
        <v>1102</v>
      </c>
      <c r="F81" s="118" t="s">
        <v>1288</v>
      </c>
    </row>
    <row r="82" spans="1:6" ht="25.5" x14ac:dyDescent="0.25">
      <c r="A82" s="190" t="s">
        <v>216</v>
      </c>
      <c r="B82" s="187" t="s">
        <v>1036</v>
      </c>
      <c r="C82" s="187" t="s">
        <v>1289</v>
      </c>
      <c r="D82" s="189" t="s">
        <v>1070</v>
      </c>
      <c r="E82" s="188" t="s">
        <v>1102</v>
      </c>
      <c r="F82" s="118" t="s">
        <v>1290</v>
      </c>
    </row>
    <row r="83" spans="1:6" ht="25.5" x14ac:dyDescent="0.25">
      <c r="A83" s="190" t="s">
        <v>217</v>
      </c>
      <c r="B83" s="187" t="s">
        <v>1036</v>
      </c>
      <c r="C83" s="187" t="s">
        <v>1289</v>
      </c>
      <c r="D83" s="189" t="s">
        <v>1070</v>
      </c>
      <c r="E83" s="188" t="s">
        <v>1102</v>
      </c>
      <c r="F83" s="118" t="s">
        <v>1291</v>
      </c>
    </row>
    <row r="84" spans="1:6" ht="25.5" x14ac:dyDescent="0.25">
      <c r="A84" s="190" t="s">
        <v>220</v>
      </c>
      <c r="B84" s="187" t="s">
        <v>1036</v>
      </c>
      <c r="C84" s="187" t="s">
        <v>1287</v>
      </c>
      <c r="D84" s="191" t="s">
        <v>1070</v>
      </c>
      <c r="E84" s="188" t="s">
        <v>1102</v>
      </c>
      <c r="F84" s="118" t="s">
        <v>1292</v>
      </c>
    </row>
    <row r="85" spans="1:6" ht="24" customHeight="1" x14ac:dyDescent="0.25">
      <c r="A85" s="192" t="s">
        <v>285</v>
      </c>
      <c r="B85" s="193" t="s">
        <v>1052</v>
      </c>
      <c r="C85" s="173"/>
      <c r="D85" s="194"/>
      <c r="E85" s="195"/>
      <c r="F85" s="196"/>
    </row>
    <row r="86" spans="1:6" x14ac:dyDescent="0.25">
      <c r="A86" s="192" t="s">
        <v>211</v>
      </c>
      <c r="B86" s="193" t="s">
        <v>1052</v>
      </c>
      <c r="C86" s="173"/>
      <c r="D86" s="194"/>
      <c r="E86" s="177"/>
      <c r="F86" s="108"/>
    </row>
  </sheetData>
  <mergeCells count="48">
    <mergeCell ref="A70:A76"/>
    <mergeCell ref="B70:B76"/>
    <mergeCell ref="C70:C76"/>
    <mergeCell ref="D70:D76"/>
    <mergeCell ref="A78:A80"/>
    <mergeCell ref="B78:B80"/>
    <mergeCell ref="C78:C80"/>
    <mergeCell ref="D78:D80"/>
    <mergeCell ref="A53:A55"/>
    <mergeCell ref="B53:B55"/>
    <mergeCell ref="C53:C55"/>
    <mergeCell ref="D53:D55"/>
    <mergeCell ref="A61:A69"/>
    <mergeCell ref="B61:B69"/>
    <mergeCell ref="C61:C69"/>
    <mergeCell ref="D61:D69"/>
    <mergeCell ref="A47:A50"/>
    <mergeCell ref="B47:B50"/>
    <mergeCell ref="C47:C50"/>
    <mergeCell ref="D47:D50"/>
    <mergeCell ref="A51:A52"/>
    <mergeCell ref="B51:B52"/>
    <mergeCell ref="C51:C52"/>
    <mergeCell ref="D51:D52"/>
    <mergeCell ref="A25:A27"/>
    <mergeCell ref="B25:B27"/>
    <mergeCell ref="C25:C27"/>
    <mergeCell ref="D25:D27"/>
    <mergeCell ref="A28:A46"/>
    <mergeCell ref="B28:B46"/>
    <mergeCell ref="C28:C46"/>
    <mergeCell ref="D28:D46"/>
    <mergeCell ref="A11:A15"/>
    <mergeCell ref="B11:B15"/>
    <mergeCell ref="C11:C15"/>
    <mergeCell ref="D11:D15"/>
    <mergeCell ref="A16:A24"/>
    <mergeCell ref="B16:B24"/>
    <mergeCell ref="C16:C24"/>
    <mergeCell ref="D16:D24"/>
    <mergeCell ref="A4:A6"/>
    <mergeCell ref="B4:B6"/>
    <mergeCell ref="C4:C6"/>
    <mergeCell ref="D4:D6"/>
    <mergeCell ref="A7:A10"/>
    <mergeCell ref="B7:B10"/>
    <mergeCell ref="C7:C10"/>
    <mergeCell ref="D7:D10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8"/>
  <sheetViews>
    <sheetView workbookViewId="0">
      <selection activeCell="K12" sqref="K12"/>
    </sheetView>
  </sheetViews>
  <sheetFormatPr defaultRowHeight="15" x14ac:dyDescent="0.25"/>
  <sheetData>
    <row r="1" spans="1:1" x14ac:dyDescent="0.25">
      <c r="A1" t="s">
        <v>1015</v>
      </c>
    </row>
    <row r="2" spans="1:1" x14ac:dyDescent="0.25">
      <c r="A2" t="s">
        <v>1016</v>
      </c>
    </row>
    <row r="3" spans="1:1" x14ac:dyDescent="0.25">
      <c r="A3" t="s">
        <v>1015</v>
      </c>
    </row>
    <row r="4" spans="1:1" x14ac:dyDescent="0.25">
      <c r="A4" t="s">
        <v>1021</v>
      </c>
    </row>
    <row r="5" spans="1:1" x14ac:dyDescent="0.25">
      <c r="A5" t="s">
        <v>1022</v>
      </c>
    </row>
    <row r="6" spans="1:1" x14ac:dyDescent="0.25">
      <c r="A6" t="s">
        <v>1021</v>
      </c>
    </row>
    <row r="7" spans="1:1" x14ac:dyDescent="0.25">
      <c r="A7" t="s">
        <v>1021</v>
      </c>
    </row>
    <row r="8" spans="1:1" x14ac:dyDescent="0.25">
      <c r="A8" t="s">
        <v>1023</v>
      </c>
    </row>
    <row r="9" spans="1:1" x14ac:dyDescent="0.25">
      <c r="A9" t="s">
        <v>1021</v>
      </c>
    </row>
    <row r="10" spans="1:1" x14ac:dyDescent="0.25">
      <c r="A10" t="s">
        <v>1021</v>
      </c>
    </row>
    <row r="11" spans="1:1" x14ac:dyDescent="0.25">
      <c r="A11" t="s">
        <v>1024</v>
      </c>
    </row>
    <row r="12" spans="1:1" x14ac:dyDescent="0.25">
      <c r="A12" t="s">
        <v>1021</v>
      </c>
    </row>
    <row r="13" spans="1:1" x14ac:dyDescent="0.25">
      <c r="A13" t="s">
        <v>1021</v>
      </c>
    </row>
    <row r="14" spans="1:1" x14ac:dyDescent="0.25">
      <c r="A14" t="s">
        <v>1025</v>
      </c>
    </row>
    <row r="15" spans="1:1" x14ac:dyDescent="0.25">
      <c r="A15" t="s">
        <v>1021</v>
      </c>
    </row>
    <row r="16" spans="1:1" x14ac:dyDescent="0.25">
      <c r="A16" t="s">
        <v>1021</v>
      </c>
    </row>
    <row r="17" spans="1:1" x14ac:dyDescent="0.25">
      <c r="A17" t="s">
        <v>1026</v>
      </c>
    </row>
    <row r="18" spans="1:1" x14ac:dyDescent="0.25">
      <c r="A18" t="s">
        <v>1021</v>
      </c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F17"/>
  <sheetViews>
    <sheetView workbookViewId="0">
      <pane ySplit="2" topLeftCell="A3" activePane="bottomLeft" state="frozen"/>
      <selection pane="bottomLeft" activeCell="D12" sqref="D12"/>
    </sheetView>
  </sheetViews>
  <sheetFormatPr defaultRowHeight="15" x14ac:dyDescent="0.25"/>
  <cols>
    <col min="1" max="1" width="33.140625" style="63" customWidth="1"/>
    <col min="2" max="2" width="9.140625" style="202"/>
    <col min="3" max="3" width="29.85546875" style="63" bestFit="1" customWidth="1"/>
    <col min="4" max="4" width="9.140625" style="214"/>
    <col min="5" max="5" width="32.42578125" style="63" customWidth="1"/>
    <col min="6" max="6" width="10" style="63" bestFit="1" customWidth="1"/>
    <col min="7" max="7" width="38.140625" style="63" bestFit="1" customWidth="1"/>
    <col min="8" max="16384" width="9.140625" style="63"/>
  </cols>
  <sheetData>
    <row r="1" spans="1:6" ht="25.5" x14ac:dyDescent="0.25">
      <c r="A1" s="205" t="s">
        <v>1028</v>
      </c>
      <c r="B1" s="127" t="s">
        <v>976</v>
      </c>
      <c r="C1" s="166" t="s">
        <v>1172</v>
      </c>
      <c r="D1" s="206"/>
      <c r="E1" s="169"/>
      <c r="F1" s="169"/>
    </row>
    <row r="2" spans="1:6" ht="38.25" x14ac:dyDescent="0.25">
      <c r="A2" s="207" t="s">
        <v>1030</v>
      </c>
      <c r="B2" s="207" t="s">
        <v>1031</v>
      </c>
      <c r="C2" s="170" t="s">
        <v>1032</v>
      </c>
      <c r="D2" s="207" t="s">
        <v>1033</v>
      </c>
      <c r="E2" s="170" t="s">
        <v>1034</v>
      </c>
      <c r="F2" s="170" t="s">
        <v>1035</v>
      </c>
    </row>
    <row r="3" spans="1:6" x14ac:dyDescent="0.25">
      <c r="A3" s="249" t="s">
        <v>126</v>
      </c>
      <c r="B3" s="187" t="s">
        <v>1036</v>
      </c>
      <c r="C3" s="250" t="s">
        <v>1173</v>
      </c>
      <c r="D3" s="187" t="s">
        <v>1070</v>
      </c>
      <c r="E3" s="251" t="s">
        <v>1038</v>
      </c>
      <c r="F3" s="118" t="s">
        <v>1038</v>
      </c>
    </row>
    <row r="4" spans="1:6" x14ac:dyDescent="0.25">
      <c r="A4" s="301" t="s">
        <v>699</v>
      </c>
      <c r="B4" s="292" t="s">
        <v>1036</v>
      </c>
      <c r="C4" s="302" t="s">
        <v>1343</v>
      </c>
      <c r="D4" s="303">
        <v>0</v>
      </c>
      <c r="E4" s="188" t="s">
        <v>1070</v>
      </c>
      <c r="F4" s="118" t="s">
        <v>1328</v>
      </c>
    </row>
    <row r="5" spans="1:6" x14ac:dyDescent="0.25">
      <c r="A5" s="301"/>
      <c r="B5" s="294"/>
      <c r="C5" s="302"/>
      <c r="D5" s="303"/>
      <c r="E5" s="252">
        <v>1</v>
      </c>
      <c r="F5" s="118" t="s">
        <v>1344</v>
      </c>
    </row>
    <row r="6" spans="1:6" x14ac:dyDescent="0.25">
      <c r="A6" s="249" t="s">
        <v>698</v>
      </c>
      <c r="B6" s="187" t="s">
        <v>1036</v>
      </c>
      <c r="C6" s="250" t="s">
        <v>1345</v>
      </c>
      <c r="D6" s="187" t="s">
        <v>1070</v>
      </c>
      <c r="E6" s="251" t="s">
        <v>1038</v>
      </c>
      <c r="F6" s="118" t="s">
        <v>1038</v>
      </c>
    </row>
    <row r="7" spans="1:6" x14ac:dyDescent="0.25">
      <c r="A7" s="289" t="s">
        <v>497</v>
      </c>
      <c r="B7" s="298" t="s">
        <v>1036</v>
      </c>
      <c r="C7" s="304" t="s">
        <v>1346</v>
      </c>
      <c r="D7" s="298" t="s">
        <v>1070</v>
      </c>
      <c r="E7" s="253" t="s">
        <v>1347</v>
      </c>
      <c r="F7" s="118">
        <v>1</v>
      </c>
    </row>
    <row r="8" spans="1:6" x14ac:dyDescent="0.25">
      <c r="A8" s="290"/>
      <c r="B8" s="299"/>
      <c r="C8" s="305"/>
      <c r="D8" s="299"/>
      <c r="E8" s="253" t="s">
        <v>1348</v>
      </c>
      <c r="F8" s="118">
        <v>2</v>
      </c>
    </row>
    <row r="9" spans="1:6" x14ac:dyDescent="0.25">
      <c r="A9" s="290"/>
      <c r="B9" s="299"/>
      <c r="C9" s="305"/>
      <c r="D9" s="299"/>
      <c r="E9" s="253" t="s">
        <v>1349</v>
      </c>
      <c r="F9" s="118">
        <v>3</v>
      </c>
    </row>
    <row r="10" spans="1:6" x14ac:dyDescent="0.25">
      <c r="A10" s="290"/>
      <c r="B10" s="299"/>
      <c r="C10" s="305"/>
      <c r="D10" s="299"/>
      <c r="E10" s="253" t="s">
        <v>1350</v>
      </c>
      <c r="F10" s="118" t="s">
        <v>1350</v>
      </c>
    </row>
    <row r="11" spans="1:6" x14ac:dyDescent="0.25">
      <c r="A11" s="291"/>
      <c r="B11" s="300"/>
      <c r="C11" s="306"/>
      <c r="D11" s="300"/>
      <c r="E11" s="253" t="s">
        <v>1351</v>
      </c>
      <c r="F11" s="118">
        <v>4</v>
      </c>
    </row>
    <row r="12" spans="1:6" x14ac:dyDescent="0.25">
      <c r="A12" s="249" t="s">
        <v>702</v>
      </c>
      <c r="B12" s="187" t="s">
        <v>1036</v>
      </c>
      <c r="C12" s="250" t="s">
        <v>702</v>
      </c>
      <c r="D12" s="187" t="s">
        <v>1070</v>
      </c>
      <c r="E12" s="251" t="s">
        <v>1038</v>
      </c>
      <c r="F12" s="118" t="s">
        <v>1038</v>
      </c>
    </row>
    <row r="13" spans="1:6" x14ac:dyDescent="0.25">
      <c r="A13" s="289" t="s">
        <v>700</v>
      </c>
      <c r="B13" s="292" t="s">
        <v>1036</v>
      </c>
      <c r="C13" s="295" t="s">
        <v>1352</v>
      </c>
      <c r="D13" s="298" t="s">
        <v>1070</v>
      </c>
      <c r="E13" s="254" t="s">
        <v>1353</v>
      </c>
      <c r="F13" s="118">
        <v>1</v>
      </c>
    </row>
    <row r="14" spans="1:6" x14ac:dyDescent="0.25">
      <c r="A14" s="290"/>
      <c r="B14" s="293"/>
      <c r="C14" s="296"/>
      <c r="D14" s="299"/>
      <c r="E14" s="254" t="s">
        <v>1354</v>
      </c>
      <c r="F14" s="118">
        <v>2</v>
      </c>
    </row>
    <row r="15" spans="1:6" x14ac:dyDescent="0.25">
      <c r="A15" s="290"/>
      <c r="B15" s="293"/>
      <c r="C15" s="296"/>
      <c r="D15" s="299"/>
      <c r="E15" s="254" t="s">
        <v>1355</v>
      </c>
      <c r="F15" s="118">
        <v>4</v>
      </c>
    </row>
    <row r="16" spans="1:6" x14ac:dyDescent="0.25">
      <c r="A16" s="291"/>
      <c r="B16" s="294"/>
      <c r="C16" s="297"/>
      <c r="D16" s="300"/>
      <c r="E16" s="251" t="s">
        <v>1356</v>
      </c>
      <c r="F16" s="118">
        <v>8</v>
      </c>
    </row>
    <row r="17" spans="1:6" x14ac:dyDescent="0.25">
      <c r="A17" s="255" t="s">
        <v>701</v>
      </c>
      <c r="B17" s="247" t="s">
        <v>1036</v>
      </c>
      <c r="C17" s="251" t="s">
        <v>701</v>
      </c>
      <c r="D17" s="248">
        <v>0</v>
      </c>
      <c r="E17" s="251" t="s">
        <v>1102</v>
      </c>
      <c r="F17" s="118" t="s">
        <v>1102</v>
      </c>
    </row>
  </sheetData>
  <mergeCells count="12">
    <mergeCell ref="A13:A16"/>
    <mergeCell ref="B13:B16"/>
    <mergeCell ref="C13:C16"/>
    <mergeCell ref="D13:D16"/>
    <mergeCell ref="A4:A5"/>
    <mergeCell ref="B4:B5"/>
    <mergeCell ref="C4:C5"/>
    <mergeCell ref="D4:D5"/>
    <mergeCell ref="A7:A11"/>
    <mergeCell ref="B7:B11"/>
    <mergeCell ref="C7:C11"/>
    <mergeCell ref="D7:D11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4"/>
  <sheetViews>
    <sheetView workbookViewId="0">
      <pane ySplit="2" topLeftCell="A3" activePane="bottomLeft" state="frozen"/>
      <selection pane="bottomLeft" activeCell="F12" sqref="F12"/>
    </sheetView>
  </sheetViews>
  <sheetFormatPr defaultColWidth="8.85546875" defaultRowHeight="12.75" x14ac:dyDescent="0.25"/>
  <cols>
    <col min="1" max="1" width="23.7109375" style="169" customWidth="1"/>
    <col min="2" max="2" width="8.85546875" style="169"/>
    <col min="3" max="3" width="24.85546875" style="169" bestFit="1" customWidth="1"/>
    <col min="4" max="4" width="8.85546875" style="174"/>
    <col min="5" max="5" width="15.28515625" style="169" customWidth="1"/>
    <col min="6" max="6" width="71.42578125" style="169" bestFit="1" customWidth="1"/>
    <col min="7" max="7" width="8.85546875" style="169"/>
    <col min="8" max="8" width="61.28515625" style="169" customWidth="1"/>
    <col min="9" max="16384" width="8.85546875" style="169"/>
  </cols>
  <sheetData>
    <row r="1" spans="1:8" x14ac:dyDescent="0.25">
      <c r="A1" s="166" t="s">
        <v>1028</v>
      </c>
      <c r="B1" s="201" t="s">
        <v>30</v>
      </c>
      <c r="C1" s="166" t="s">
        <v>1172</v>
      </c>
      <c r="D1" s="168"/>
    </row>
    <row r="2" spans="1:8" ht="25.5" x14ac:dyDescent="0.25">
      <c r="A2" s="166" t="s">
        <v>1030</v>
      </c>
      <c r="B2" s="166" t="s">
        <v>1031</v>
      </c>
      <c r="C2" s="170" t="s">
        <v>1032</v>
      </c>
      <c r="D2" s="171" t="s">
        <v>1033</v>
      </c>
      <c r="E2" s="170" t="s">
        <v>1034</v>
      </c>
      <c r="F2" s="170" t="s">
        <v>1035</v>
      </c>
    </row>
    <row r="3" spans="1:8" x14ac:dyDescent="0.25">
      <c r="A3" s="172" t="s">
        <v>126</v>
      </c>
      <c r="B3" s="173" t="s">
        <v>1036</v>
      </c>
      <c r="C3" s="173" t="s">
        <v>1320</v>
      </c>
      <c r="D3" s="174">
        <v>0</v>
      </c>
      <c r="E3" s="188" t="s">
        <v>1038</v>
      </c>
      <c r="F3" s="118" t="s">
        <v>1322</v>
      </c>
    </row>
    <row r="4" spans="1:8" ht="25.5" x14ac:dyDescent="0.25">
      <c r="A4" s="185" t="s">
        <v>293</v>
      </c>
      <c r="B4" s="187" t="s">
        <v>1036</v>
      </c>
      <c r="C4" s="187" t="s">
        <v>1321</v>
      </c>
      <c r="D4" s="168" t="s">
        <v>1070</v>
      </c>
      <c r="E4" s="188" t="s">
        <v>1102</v>
      </c>
      <c r="F4" s="118" t="s">
        <v>1323</v>
      </c>
      <c r="H4" s="184"/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6"/>
  <sheetViews>
    <sheetView workbookViewId="0">
      <pane ySplit="2" topLeftCell="A3" activePane="bottomLeft" state="frozen"/>
      <selection activeCell="D1" sqref="D1"/>
      <selection pane="bottomLeft" activeCell="C4" sqref="C4:C11"/>
    </sheetView>
  </sheetViews>
  <sheetFormatPr defaultRowHeight="15" x14ac:dyDescent="0.25"/>
  <cols>
    <col min="1" max="1" width="26.140625" style="63" customWidth="1"/>
    <col min="2" max="2" width="16.85546875" style="227" customWidth="1"/>
    <col min="3" max="3" width="36.42578125" style="232" customWidth="1"/>
    <col min="4" max="4" width="15.140625" style="94" bestFit="1" customWidth="1"/>
    <col min="5" max="5" width="19.42578125" style="234" customWidth="1"/>
    <col min="6" max="6" width="21.85546875" style="63" bestFit="1" customWidth="1"/>
    <col min="7" max="7" width="14.5703125" style="63" bestFit="1" customWidth="1"/>
    <col min="8" max="8" width="9.140625" style="63"/>
    <col min="9" max="9" width="14" style="63" bestFit="1" customWidth="1"/>
    <col min="10" max="16384" width="9.140625" style="63"/>
  </cols>
  <sheetData>
    <row r="1" spans="1:7" x14ac:dyDescent="0.25">
      <c r="A1" s="21" t="s">
        <v>1028</v>
      </c>
      <c r="B1" s="225" t="s">
        <v>14</v>
      </c>
      <c r="C1" s="230" t="s">
        <v>1029</v>
      </c>
      <c r="D1" s="32" t="s">
        <v>1144</v>
      </c>
      <c r="G1" s="136"/>
    </row>
    <row r="2" spans="1:7" x14ac:dyDescent="0.25">
      <c r="A2" s="21" t="s">
        <v>1030</v>
      </c>
      <c r="B2" s="226" t="s">
        <v>1031</v>
      </c>
      <c r="C2" s="231" t="s">
        <v>1032</v>
      </c>
      <c r="D2" s="96" t="s">
        <v>1033</v>
      </c>
      <c r="E2" s="95" t="s">
        <v>1034</v>
      </c>
      <c r="F2" s="95" t="s">
        <v>1035</v>
      </c>
    </row>
    <row r="3" spans="1:7" x14ac:dyDescent="0.25">
      <c r="A3" s="97" t="s">
        <v>126</v>
      </c>
      <c r="B3" s="227" t="s">
        <v>1036</v>
      </c>
      <c r="C3" s="232" t="s">
        <v>1037</v>
      </c>
      <c r="D3" s="98">
        <v>0</v>
      </c>
      <c r="E3" s="234" t="s">
        <v>1038</v>
      </c>
      <c r="F3" s="99" t="s">
        <v>1038</v>
      </c>
    </row>
    <row r="4" spans="1:7" x14ac:dyDescent="0.25">
      <c r="A4" s="307" t="s">
        <v>127</v>
      </c>
      <c r="B4" s="310" t="s">
        <v>1036</v>
      </c>
      <c r="C4" s="313" t="s">
        <v>1039</v>
      </c>
      <c r="D4" s="316" t="s">
        <v>1040</v>
      </c>
      <c r="E4" s="235" t="s">
        <v>1041</v>
      </c>
      <c r="F4" s="100" t="s">
        <v>1017</v>
      </c>
    </row>
    <row r="5" spans="1:7" x14ac:dyDescent="0.25">
      <c r="A5" s="308"/>
      <c r="B5" s="311"/>
      <c r="C5" s="314"/>
      <c r="D5" s="317"/>
      <c r="E5" s="236" t="s">
        <v>1042</v>
      </c>
      <c r="F5" s="101" t="s">
        <v>1043</v>
      </c>
    </row>
    <row r="6" spans="1:7" x14ac:dyDescent="0.25">
      <c r="A6" s="308"/>
      <c r="B6" s="311"/>
      <c r="C6" s="314"/>
      <c r="D6" s="317"/>
      <c r="E6" s="236" t="s">
        <v>1044</v>
      </c>
      <c r="F6" s="101" t="s">
        <v>1045</v>
      </c>
    </row>
    <row r="7" spans="1:7" x14ac:dyDescent="0.25">
      <c r="A7" s="308"/>
      <c r="B7" s="311"/>
      <c r="C7" s="314"/>
      <c r="D7" s="317"/>
      <c r="E7" s="236" t="s">
        <v>1046</v>
      </c>
      <c r="F7" s="101" t="s">
        <v>1047</v>
      </c>
    </row>
    <row r="8" spans="1:7" x14ac:dyDescent="0.25">
      <c r="A8" s="308"/>
      <c r="B8" s="311"/>
      <c r="C8" s="314"/>
      <c r="D8" s="317"/>
      <c r="E8" s="236" t="s">
        <v>1048</v>
      </c>
      <c r="F8" s="101" t="s">
        <v>1047</v>
      </c>
    </row>
    <row r="9" spans="1:7" x14ac:dyDescent="0.25">
      <c r="A9" s="308"/>
      <c r="B9" s="311"/>
      <c r="C9" s="314"/>
      <c r="D9" s="317"/>
      <c r="E9" s="236" t="s">
        <v>1049</v>
      </c>
      <c r="F9" s="101" t="s">
        <v>1045</v>
      </c>
    </row>
    <row r="10" spans="1:7" x14ac:dyDescent="0.25">
      <c r="A10" s="308"/>
      <c r="B10" s="311"/>
      <c r="C10" s="314"/>
      <c r="D10" s="317"/>
      <c r="E10" s="236" t="s">
        <v>1050</v>
      </c>
      <c r="F10" s="101" t="s">
        <v>1045</v>
      </c>
    </row>
    <row r="11" spans="1:7" x14ac:dyDescent="0.25">
      <c r="A11" s="309"/>
      <c r="B11" s="312"/>
      <c r="C11" s="315"/>
      <c r="D11" s="318"/>
      <c r="E11" s="237" t="s">
        <v>1051</v>
      </c>
      <c r="F11" s="102" t="s">
        <v>1045</v>
      </c>
    </row>
    <row r="12" spans="1:7" x14ac:dyDescent="0.25">
      <c r="A12" s="103" t="s">
        <v>128</v>
      </c>
      <c r="B12" s="228" t="s">
        <v>1052</v>
      </c>
      <c r="C12" s="233"/>
      <c r="D12" s="106"/>
      <c r="E12" s="238"/>
      <c r="F12" s="107"/>
    </row>
    <row r="13" spans="1:7" ht="17.25" customHeight="1" x14ac:dyDescent="0.25">
      <c r="A13" s="307" t="s">
        <v>129</v>
      </c>
      <c r="B13" s="310" t="s">
        <v>1036</v>
      </c>
      <c r="C13" s="313" t="s">
        <v>1039</v>
      </c>
      <c r="D13" s="319" t="s">
        <v>1040</v>
      </c>
      <c r="E13" s="235" t="s">
        <v>1041</v>
      </c>
      <c r="F13" s="108" t="s">
        <v>1019</v>
      </c>
    </row>
    <row r="14" spans="1:7" x14ac:dyDescent="0.25">
      <c r="A14" s="308"/>
      <c r="B14" s="311"/>
      <c r="C14" s="314"/>
      <c r="D14" s="320"/>
      <c r="E14" s="236" t="s">
        <v>1042</v>
      </c>
      <c r="F14" s="109" t="s">
        <v>1053</v>
      </c>
    </row>
    <row r="15" spans="1:7" x14ac:dyDescent="0.25">
      <c r="A15" s="308"/>
      <c r="B15" s="311"/>
      <c r="C15" s="314"/>
      <c r="D15" s="320"/>
      <c r="E15" s="236" t="s">
        <v>1044</v>
      </c>
      <c r="F15" s="109" t="s">
        <v>1054</v>
      </c>
    </row>
    <row r="16" spans="1:7" x14ac:dyDescent="0.25">
      <c r="A16" s="308"/>
      <c r="B16" s="311"/>
      <c r="C16" s="314"/>
      <c r="D16" s="320"/>
      <c r="E16" s="236" t="s">
        <v>1046</v>
      </c>
      <c r="F16" s="109" t="s">
        <v>1055</v>
      </c>
    </row>
    <row r="17" spans="1:6" x14ac:dyDescent="0.25">
      <c r="A17" s="308"/>
      <c r="B17" s="311"/>
      <c r="C17" s="314"/>
      <c r="D17" s="320"/>
      <c r="E17" s="236" t="s">
        <v>1048</v>
      </c>
      <c r="F17" s="109" t="s">
        <v>750</v>
      </c>
    </row>
    <row r="18" spans="1:6" x14ac:dyDescent="0.25">
      <c r="A18" s="308"/>
      <c r="B18" s="311"/>
      <c r="C18" s="314"/>
      <c r="D18" s="320"/>
      <c r="E18" s="236" t="s">
        <v>1049</v>
      </c>
      <c r="F18" s="109" t="s">
        <v>1055</v>
      </c>
    </row>
    <row r="19" spans="1:6" x14ac:dyDescent="0.25">
      <c r="A19" s="308"/>
      <c r="B19" s="311"/>
      <c r="C19" s="314"/>
      <c r="D19" s="320"/>
      <c r="E19" s="236" t="s">
        <v>1050</v>
      </c>
      <c r="F19" s="109" t="s">
        <v>750</v>
      </c>
    </row>
    <row r="20" spans="1:6" x14ac:dyDescent="0.25">
      <c r="A20" s="309"/>
      <c r="B20" s="312"/>
      <c r="C20" s="315"/>
      <c r="D20" s="320"/>
      <c r="E20" s="237" t="s">
        <v>1051</v>
      </c>
      <c r="F20" s="110" t="s">
        <v>1056</v>
      </c>
    </row>
    <row r="21" spans="1:6" x14ac:dyDescent="0.25">
      <c r="A21" s="103" t="s">
        <v>130</v>
      </c>
      <c r="B21" s="228" t="s">
        <v>1052</v>
      </c>
      <c r="C21" s="233"/>
      <c r="D21" s="106"/>
      <c r="E21" s="238"/>
      <c r="F21" s="107"/>
    </row>
    <row r="22" spans="1:6" x14ac:dyDescent="0.25">
      <c r="A22" s="307" t="s">
        <v>131</v>
      </c>
      <c r="B22" s="310" t="s">
        <v>1036</v>
      </c>
      <c r="C22" s="313" t="s">
        <v>1039</v>
      </c>
      <c r="D22" s="316" t="s">
        <v>1057</v>
      </c>
      <c r="E22" s="235">
        <v>81</v>
      </c>
      <c r="F22" s="108" t="s">
        <v>741</v>
      </c>
    </row>
    <row r="23" spans="1:6" x14ac:dyDescent="0.25">
      <c r="A23" s="308"/>
      <c r="B23" s="311"/>
      <c r="C23" s="314"/>
      <c r="D23" s="321"/>
      <c r="E23" s="236">
        <v>89</v>
      </c>
      <c r="F23" s="109" t="s">
        <v>1058</v>
      </c>
    </row>
    <row r="24" spans="1:6" x14ac:dyDescent="0.25">
      <c r="A24" s="308"/>
      <c r="B24" s="311"/>
      <c r="C24" s="314"/>
      <c r="D24" s="321"/>
      <c r="E24" s="236">
        <v>96</v>
      </c>
      <c r="F24" s="109" t="s">
        <v>1059</v>
      </c>
    </row>
    <row r="25" spans="1:6" x14ac:dyDescent="0.25">
      <c r="A25" s="309"/>
      <c r="B25" s="312"/>
      <c r="C25" s="315"/>
      <c r="D25" s="322"/>
      <c r="E25" s="237">
        <v>99</v>
      </c>
      <c r="F25" s="110" t="s">
        <v>1060</v>
      </c>
    </row>
    <row r="26" spans="1:6" x14ac:dyDescent="0.25">
      <c r="A26" s="103" t="s">
        <v>132</v>
      </c>
      <c r="B26" s="228" t="s">
        <v>1052</v>
      </c>
      <c r="C26" s="233"/>
      <c r="D26" s="106"/>
      <c r="E26" s="238"/>
      <c r="F26" s="107"/>
    </row>
    <row r="27" spans="1:6" x14ac:dyDescent="0.25">
      <c r="A27" s="103" t="s">
        <v>133</v>
      </c>
      <c r="B27" s="228" t="s">
        <v>1052</v>
      </c>
      <c r="C27" s="233"/>
      <c r="D27" s="106"/>
      <c r="E27" s="238"/>
      <c r="F27" s="107"/>
    </row>
    <row r="28" spans="1:6" x14ac:dyDescent="0.25">
      <c r="A28" s="307" t="s">
        <v>134</v>
      </c>
      <c r="B28" s="310" t="s">
        <v>1036</v>
      </c>
      <c r="C28" s="313" t="s">
        <v>1039</v>
      </c>
      <c r="D28" s="316" t="s">
        <v>1061</v>
      </c>
      <c r="E28" s="235" t="s">
        <v>1041</v>
      </c>
      <c r="F28" s="108" t="s">
        <v>1062</v>
      </c>
    </row>
    <row r="29" spans="1:6" x14ac:dyDescent="0.25">
      <c r="A29" s="308"/>
      <c r="B29" s="311"/>
      <c r="C29" s="314"/>
      <c r="D29" s="321"/>
      <c r="E29" s="239" t="s">
        <v>1050</v>
      </c>
      <c r="F29" s="109" t="b">
        <v>0</v>
      </c>
    </row>
    <row r="30" spans="1:6" x14ac:dyDescent="0.25">
      <c r="A30" s="309"/>
      <c r="B30" s="312"/>
      <c r="C30" s="315"/>
      <c r="D30" s="322"/>
      <c r="E30" s="240" t="s">
        <v>1049</v>
      </c>
      <c r="F30" s="110" t="b">
        <v>1</v>
      </c>
    </row>
    <row r="31" spans="1:6" x14ac:dyDescent="0.25">
      <c r="A31" s="307" t="s">
        <v>135</v>
      </c>
      <c r="B31" s="310" t="s">
        <v>1036</v>
      </c>
      <c r="C31" s="313" t="s">
        <v>1039</v>
      </c>
      <c r="D31" s="316">
        <v>39</v>
      </c>
      <c r="E31" s="235">
        <v>8</v>
      </c>
      <c r="F31" s="108">
        <v>7</v>
      </c>
    </row>
    <row r="32" spans="1:6" x14ac:dyDescent="0.25">
      <c r="A32" s="323"/>
      <c r="B32" s="311"/>
      <c r="C32" s="314"/>
      <c r="D32" s="317"/>
      <c r="E32" s="236">
        <v>9</v>
      </c>
      <c r="F32" s="109">
        <v>8</v>
      </c>
    </row>
    <row r="33" spans="1:6" x14ac:dyDescent="0.25">
      <c r="A33" s="323"/>
      <c r="B33" s="311"/>
      <c r="C33" s="314"/>
      <c r="D33" s="317"/>
      <c r="E33" s="236" t="s">
        <v>1063</v>
      </c>
      <c r="F33" s="109">
        <v>7</v>
      </c>
    </row>
    <row r="34" spans="1:6" x14ac:dyDescent="0.25">
      <c r="A34" s="324"/>
      <c r="B34" s="312"/>
      <c r="C34" s="315"/>
      <c r="D34" s="318"/>
      <c r="E34" s="237" t="s">
        <v>1064</v>
      </c>
      <c r="F34" s="110">
        <v>8</v>
      </c>
    </row>
    <row r="35" spans="1:6" x14ac:dyDescent="0.25">
      <c r="A35" s="307" t="s">
        <v>136</v>
      </c>
      <c r="B35" s="310" t="s">
        <v>1036</v>
      </c>
      <c r="C35" s="313" t="s">
        <v>1039</v>
      </c>
      <c r="D35" s="316">
        <v>39</v>
      </c>
      <c r="E35" s="235">
        <v>8</v>
      </c>
      <c r="F35" s="100">
        <v>1</v>
      </c>
    </row>
    <row r="36" spans="1:6" x14ac:dyDescent="0.25">
      <c r="A36" s="323"/>
      <c r="B36" s="311"/>
      <c r="C36" s="314"/>
      <c r="D36" s="317"/>
      <c r="E36" s="236">
        <v>9</v>
      </c>
      <c r="F36" s="101">
        <v>1</v>
      </c>
    </row>
    <row r="37" spans="1:6" x14ac:dyDescent="0.25">
      <c r="A37" s="323"/>
      <c r="B37" s="311"/>
      <c r="C37" s="314"/>
      <c r="D37" s="317"/>
      <c r="E37" s="236" t="s">
        <v>1063</v>
      </c>
      <c r="F37" s="101">
        <v>2</v>
      </c>
    </row>
    <row r="38" spans="1:6" x14ac:dyDescent="0.25">
      <c r="A38" s="324"/>
      <c r="B38" s="312"/>
      <c r="C38" s="315"/>
      <c r="D38" s="318"/>
      <c r="E38" s="237" t="s">
        <v>1064</v>
      </c>
      <c r="F38" s="102">
        <v>2</v>
      </c>
    </row>
    <row r="39" spans="1:6" x14ac:dyDescent="0.25">
      <c r="A39" s="307" t="s">
        <v>137</v>
      </c>
      <c r="B39" s="310" t="s">
        <v>1036</v>
      </c>
      <c r="C39" s="313" t="s">
        <v>1039</v>
      </c>
      <c r="D39" s="316">
        <v>40</v>
      </c>
      <c r="E39" s="235">
        <v>1</v>
      </c>
      <c r="F39" s="108">
        <v>0.3</v>
      </c>
    </row>
    <row r="40" spans="1:6" x14ac:dyDescent="0.25">
      <c r="A40" s="323"/>
      <c r="B40" s="311"/>
      <c r="C40" s="314"/>
      <c r="D40" s="317"/>
      <c r="E40" s="236">
        <v>2</v>
      </c>
      <c r="F40" s="109" t="s">
        <v>1065</v>
      </c>
    </row>
    <row r="41" spans="1:6" x14ac:dyDescent="0.25">
      <c r="A41" s="323"/>
      <c r="B41" s="311"/>
      <c r="C41" s="314"/>
      <c r="D41" s="317"/>
      <c r="E41" s="236">
        <v>3</v>
      </c>
      <c r="F41" s="109" t="s">
        <v>1066</v>
      </c>
    </row>
    <row r="42" spans="1:6" x14ac:dyDescent="0.25">
      <c r="A42" s="323"/>
      <c r="B42" s="311"/>
      <c r="C42" s="314"/>
      <c r="D42" s="317"/>
      <c r="E42" s="236">
        <v>4</v>
      </c>
      <c r="F42" s="109" t="s">
        <v>1067</v>
      </c>
    </row>
    <row r="43" spans="1:6" x14ac:dyDescent="0.25">
      <c r="A43" s="324"/>
      <c r="B43" s="312"/>
      <c r="C43" s="315"/>
      <c r="D43" s="318"/>
      <c r="E43" s="237">
        <v>5</v>
      </c>
      <c r="F43" s="110">
        <v>9.6</v>
      </c>
    </row>
    <row r="44" spans="1:6" x14ac:dyDescent="0.25">
      <c r="A44" s="323" t="s">
        <v>138</v>
      </c>
      <c r="B44" s="311" t="s">
        <v>1036</v>
      </c>
      <c r="C44" s="325" t="s">
        <v>1039</v>
      </c>
      <c r="D44" s="317">
        <v>41</v>
      </c>
      <c r="E44" s="241" t="s">
        <v>1068</v>
      </c>
      <c r="F44" s="108">
        <v>16</v>
      </c>
    </row>
    <row r="45" spans="1:6" x14ac:dyDescent="0.25">
      <c r="A45" s="323"/>
      <c r="B45" s="311"/>
      <c r="C45" s="325"/>
      <c r="D45" s="317"/>
      <c r="E45" s="241" t="s">
        <v>1063</v>
      </c>
      <c r="F45" s="110">
        <v>8</v>
      </c>
    </row>
    <row r="46" spans="1:6" ht="25.5" x14ac:dyDescent="0.25">
      <c r="A46" s="103" t="s">
        <v>139</v>
      </c>
      <c r="B46" s="228" t="s">
        <v>1069</v>
      </c>
      <c r="C46" s="233"/>
      <c r="D46" s="106"/>
      <c r="E46" s="242"/>
      <c r="F46" s="107"/>
    </row>
    <row r="47" spans="1:6" ht="25.5" x14ac:dyDescent="0.25">
      <c r="A47" s="103" t="s">
        <v>140</v>
      </c>
      <c r="B47" s="228" t="s">
        <v>1069</v>
      </c>
      <c r="C47" s="233"/>
      <c r="D47" s="106"/>
      <c r="E47" s="238"/>
      <c r="F47" s="107"/>
    </row>
    <row r="48" spans="1:6" x14ac:dyDescent="0.25">
      <c r="A48" s="307" t="s">
        <v>141</v>
      </c>
      <c r="B48" s="310" t="s">
        <v>1036</v>
      </c>
      <c r="C48" s="313" t="s">
        <v>1039</v>
      </c>
      <c r="D48" s="316">
        <v>42</v>
      </c>
      <c r="E48" s="243" t="s">
        <v>1070</v>
      </c>
      <c r="F48" s="108" t="s">
        <v>1071</v>
      </c>
    </row>
    <row r="49" spans="1:6" x14ac:dyDescent="0.25">
      <c r="A49" s="323"/>
      <c r="B49" s="311"/>
      <c r="C49" s="314"/>
      <c r="D49" s="317"/>
      <c r="E49" s="244" t="s">
        <v>744</v>
      </c>
      <c r="F49" s="109" t="s">
        <v>1072</v>
      </c>
    </row>
    <row r="50" spans="1:6" x14ac:dyDescent="0.25">
      <c r="A50" s="323"/>
      <c r="B50" s="311"/>
      <c r="C50" s="314"/>
      <c r="D50" s="317"/>
      <c r="E50" s="244" t="s">
        <v>752</v>
      </c>
      <c r="F50" s="109" t="s">
        <v>1073</v>
      </c>
    </row>
    <row r="51" spans="1:6" x14ac:dyDescent="0.25">
      <c r="A51" s="323"/>
      <c r="B51" s="311"/>
      <c r="C51" s="314"/>
      <c r="D51" s="317"/>
      <c r="E51" s="244" t="s">
        <v>311</v>
      </c>
      <c r="F51" s="109" t="s">
        <v>1074</v>
      </c>
    </row>
    <row r="52" spans="1:6" x14ac:dyDescent="0.25">
      <c r="A52" s="324"/>
      <c r="B52" s="312"/>
      <c r="C52" s="315"/>
      <c r="D52" s="318"/>
      <c r="E52" s="245" t="s">
        <v>1075</v>
      </c>
      <c r="F52" s="110" t="s">
        <v>1076</v>
      </c>
    </row>
    <row r="53" spans="1:6" x14ac:dyDescent="0.25">
      <c r="A53" s="307" t="s">
        <v>142</v>
      </c>
      <c r="B53" s="310" t="s">
        <v>1036</v>
      </c>
      <c r="C53" s="313" t="s">
        <v>1039</v>
      </c>
      <c r="D53" s="326">
        <v>43</v>
      </c>
      <c r="E53" s="246" t="s">
        <v>1068</v>
      </c>
      <c r="F53" s="108" t="s">
        <v>1077</v>
      </c>
    </row>
    <row r="54" spans="1:6" x14ac:dyDescent="0.25">
      <c r="A54" s="323"/>
      <c r="B54" s="311"/>
      <c r="C54" s="314"/>
      <c r="D54" s="327"/>
      <c r="E54" s="239" t="s">
        <v>1078</v>
      </c>
      <c r="F54" s="109" t="s">
        <v>1079</v>
      </c>
    </row>
    <row r="55" spans="1:6" x14ac:dyDescent="0.25">
      <c r="A55" s="324"/>
      <c r="B55" s="312"/>
      <c r="C55" s="315"/>
      <c r="D55" s="328"/>
      <c r="E55" s="245" t="s">
        <v>1080</v>
      </c>
      <c r="F55" s="110" t="s">
        <v>1081</v>
      </c>
    </row>
    <row r="56" spans="1:6" x14ac:dyDescent="0.25">
      <c r="A56" s="307" t="s">
        <v>143</v>
      </c>
      <c r="B56" s="310" t="s">
        <v>1036</v>
      </c>
      <c r="C56" s="313" t="s">
        <v>1039</v>
      </c>
      <c r="D56" s="316">
        <v>44</v>
      </c>
      <c r="E56" s="243" t="s">
        <v>1070</v>
      </c>
      <c r="F56" s="108" t="s">
        <v>1073</v>
      </c>
    </row>
    <row r="57" spans="1:6" x14ac:dyDescent="0.25">
      <c r="A57" s="323"/>
      <c r="B57" s="311"/>
      <c r="C57" s="314"/>
      <c r="D57" s="317"/>
      <c r="E57" s="244" t="s">
        <v>1082</v>
      </c>
      <c r="F57" s="109" t="s">
        <v>1083</v>
      </c>
    </row>
    <row r="58" spans="1:6" x14ac:dyDescent="0.25">
      <c r="A58" s="323"/>
      <c r="B58" s="311"/>
      <c r="C58" s="314"/>
      <c r="D58" s="317"/>
      <c r="E58" s="244" t="s">
        <v>744</v>
      </c>
      <c r="F58" s="109" t="s">
        <v>1084</v>
      </c>
    </row>
    <row r="59" spans="1:6" x14ac:dyDescent="0.25">
      <c r="A59" s="323"/>
      <c r="B59" s="311"/>
      <c r="C59" s="314"/>
      <c r="D59" s="317"/>
      <c r="E59" s="244" t="s">
        <v>752</v>
      </c>
      <c r="F59" s="109" t="s">
        <v>1085</v>
      </c>
    </row>
    <row r="60" spans="1:6" x14ac:dyDescent="0.25">
      <c r="A60" s="323"/>
      <c r="B60" s="311"/>
      <c r="C60" s="314"/>
      <c r="D60" s="317"/>
      <c r="E60" s="244" t="s">
        <v>1086</v>
      </c>
      <c r="F60" s="109" t="s">
        <v>1087</v>
      </c>
    </row>
    <row r="61" spans="1:6" x14ac:dyDescent="0.25">
      <c r="A61" s="324"/>
      <c r="B61" s="312"/>
      <c r="C61" s="315"/>
      <c r="D61" s="318"/>
      <c r="E61" s="245" t="s">
        <v>1080</v>
      </c>
      <c r="F61" s="110" t="s">
        <v>1088</v>
      </c>
    </row>
    <row r="62" spans="1:6" x14ac:dyDescent="0.25">
      <c r="A62" s="103" t="s">
        <v>144</v>
      </c>
      <c r="B62" s="228" t="s">
        <v>1069</v>
      </c>
      <c r="C62" s="233"/>
      <c r="D62" s="106"/>
      <c r="E62" s="238"/>
      <c r="F62" s="107"/>
    </row>
    <row r="63" spans="1:6" x14ac:dyDescent="0.25">
      <c r="A63" s="111"/>
      <c r="B63" s="229"/>
      <c r="D63" s="112"/>
    </row>
    <row r="64" spans="1:6" x14ac:dyDescent="0.25">
      <c r="A64" s="111"/>
      <c r="B64" s="229"/>
      <c r="D64" s="112"/>
    </row>
    <row r="65" spans="1:4" x14ac:dyDescent="0.25">
      <c r="A65" s="111"/>
      <c r="B65" s="229"/>
      <c r="D65" s="112"/>
    </row>
    <row r="66" spans="1:4" x14ac:dyDescent="0.25">
      <c r="A66" s="111"/>
      <c r="B66" s="229"/>
      <c r="D66" s="112"/>
    </row>
    <row r="67" spans="1:4" x14ac:dyDescent="0.25">
      <c r="A67" s="111"/>
      <c r="B67" s="229"/>
      <c r="D67" s="112"/>
    </row>
    <row r="68" spans="1:4" x14ac:dyDescent="0.25">
      <c r="A68" s="111"/>
      <c r="B68" s="229"/>
      <c r="D68" s="112"/>
    </row>
    <row r="69" spans="1:4" x14ac:dyDescent="0.25">
      <c r="A69" s="111"/>
      <c r="B69" s="229"/>
      <c r="D69" s="112"/>
    </row>
    <row r="70" spans="1:4" x14ac:dyDescent="0.25">
      <c r="A70" s="111"/>
      <c r="B70" s="229"/>
      <c r="D70" s="112"/>
    </row>
    <row r="71" spans="1:4" x14ac:dyDescent="0.25">
      <c r="A71" s="111"/>
      <c r="B71" s="229"/>
      <c r="D71" s="112"/>
    </row>
    <row r="72" spans="1:4" x14ac:dyDescent="0.25">
      <c r="A72" s="111"/>
      <c r="B72" s="229"/>
      <c r="D72" s="112"/>
    </row>
    <row r="73" spans="1:4" x14ac:dyDescent="0.25">
      <c r="A73" s="111"/>
      <c r="B73" s="229"/>
      <c r="D73" s="112"/>
    </row>
    <row r="74" spans="1:4" x14ac:dyDescent="0.25">
      <c r="A74" s="111"/>
      <c r="B74" s="229"/>
      <c r="D74" s="112"/>
    </row>
    <row r="75" spans="1:4" x14ac:dyDescent="0.25">
      <c r="A75" s="111"/>
      <c r="B75" s="229"/>
      <c r="D75" s="112"/>
    </row>
    <row r="76" spans="1:4" x14ac:dyDescent="0.25">
      <c r="A76" s="111"/>
      <c r="B76" s="229"/>
      <c r="D76" s="112"/>
    </row>
    <row r="77" spans="1:4" x14ac:dyDescent="0.25">
      <c r="A77" s="111"/>
      <c r="B77" s="229"/>
      <c r="D77" s="112"/>
    </row>
    <row r="78" spans="1:4" x14ac:dyDescent="0.25">
      <c r="A78" s="111"/>
      <c r="B78" s="229"/>
      <c r="D78" s="112"/>
    </row>
    <row r="79" spans="1:4" x14ac:dyDescent="0.25">
      <c r="A79" s="111"/>
      <c r="D79" s="112"/>
    </row>
    <row r="80" spans="1:4" x14ac:dyDescent="0.25">
      <c r="A80" s="111"/>
      <c r="D80" s="112"/>
    </row>
    <row r="81" spans="1:1" x14ac:dyDescent="0.25">
      <c r="A81" s="111"/>
    </row>
    <row r="82" spans="1:1" x14ac:dyDescent="0.25">
      <c r="A82" s="111"/>
    </row>
    <row r="83" spans="1:1" x14ac:dyDescent="0.25">
      <c r="A83" s="111"/>
    </row>
    <row r="84" spans="1:1" x14ac:dyDescent="0.25">
      <c r="A84" s="111"/>
    </row>
    <row r="85" spans="1:1" x14ac:dyDescent="0.25">
      <c r="A85" s="111"/>
    </row>
    <row r="86" spans="1:1" x14ac:dyDescent="0.25">
      <c r="A86" s="111"/>
    </row>
  </sheetData>
  <mergeCells count="44">
    <mergeCell ref="A56:A61"/>
    <mergeCell ref="B56:B61"/>
    <mergeCell ref="C56:C61"/>
    <mergeCell ref="D56:D61"/>
    <mergeCell ref="A48:A52"/>
    <mergeCell ref="B48:B52"/>
    <mergeCell ref="C48:C52"/>
    <mergeCell ref="D48:D52"/>
    <mergeCell ref="A53:A55"/>
    <mergeCell ref="B53:B55"/>
    <mergeCell ref="C53:C55"/>
    <mergeCell ref="D53:D55"/>
    <mergeCell ref="A39:A43"/>
    <mergeCell ref="B39:B43"/>
    <mergeCell ref="C39:C43"/>
    <mergeCell ref="D39:D43"/>
    <mergeCell ref="A44:A45"/>
    <mergeCell ref="B44:B45"/>
    <mergeCell ref="C44:C45"/>
    <mergeCell ref="D44:D45"/>
    <mergeCell ref="A31:A34"/>
    <mergeCell ref="B31:B34"/>
    <mergeCell ref="C31:C34"/>
    <mergeCell ref="D31:D34"/>
    <mergeCell ref="A35:A38"/>
    <mergeCell ref="B35:B38"/>
    <mergeCell ref="C35:C38"/>
    <mergeCell ref="D35:D38"/>
    <mergeCell ref="A22:A25"/>
    <mergeCell ref="B22:B25"/>
    <mergeCell ref="C22:C25"/>
    <mergeCell ref="D22:D25"/>
    <mergeCell ref="A28:A30"/>
    <mergeCell ref="B28:B30"/>
    <mergeCell ref="C28:C30"/>
    <mergeCell ref="D28:D30"/>
    <mergeCell ref="A4:A11"/>
    <mergeCell ref="B4:B11"/>
    <mergeCell ref="C4:C11"/>
    <mergeCell ref="D4:D11"/>
    <mergeCell ref="A13:A20"/>
    <mergeCell ref="B13:B20"/>
    <mergeCell ref="C13:C20"/>
    <mergeCell ref="D13:D20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25"/>
  <sheetViews>
    <sheetView workbookViewId="0">
      <pane ySplit="2" topLeftCell="A3" activePane="bottomLeft" state="frozen"/>
      <selection activeCell="D1" sqref="D1"/>
      <selection pane="bottomLeft" activeCell="J1" sqref="J1"/>
    </sheetView>
  </sheetViews>
  <sheetFormatPr defaultRowHeight="15" x14ac:dyDescent="0.25"/>
  <cols>
    <col min="1" max="1" width="25.7109375" style="63" bestFit="1" customWidth="1"/>
    <col min="2" max="2" width="9.140625" style="63"/>
    <col min="3" max="3" width="24" style="63" bestFit="1" customWidth="1"/>
    <col min="4" max="4" width="9.140625" style="63"/>
    <col min="5" max="5" width="9.42578125" style="63" bestFit="1" customWidth="1"/>
    <col min="6" max="6" width="15.5703125" style="63" bestFit="1" customWidth="1"/>
    <col min="7" max="16384" width="9.140625" style="63"/>
  </cols>
  <sheetData>
    <row r="1" spans="1:6" x14ac:dyDescent="0.25">
      <c r="A1" s="21" t="s">
        <v>1028</v>
      </c>
      <c r="B1" s="32" t="s">
        <v>1089</v>
      </c>
      <c r="D1" s="94"/>
    </row>
    <row r="2" spans="1:6" ht="38.25" x14ac:dyDescent="0.25">
      <c r="A2" s="113" t="s">
        <v>1030</v>
      </c>
      <c r="B2" s="114" t="s">
        <v>1031</v>
      </c>
      <c r="C2" s="95" t="s">
        <v>1032</v>
      </c>
      <c r="D2" s="115" t="s">
        <v>1033</v>
      </c>
      <c r="E2" s="95" t="s">
        <v>1034</v>
      </c>
      <c r="F2" s="95" t="s">
        <v>1035</v>
      </c>
    </row>
    <row r="3" spans="1:6" x14ac:dyDescent="0.25">
      <c r="A3" s="116" t="s">
        <v>126</v>
      </c>
      <c r="B3" s="104" t="s">
        <v>1036</v>
      </c>
      <c r="C3" s="105" t="s">
        <v>1167</v>
      </c>
      <c r="D3" s="164">
        <v>0</v>
      </c>
      <c r="E3" s="105" t="s">
        <v>1102</v>
      </c>
      <c r="F3" s="118" t="s">
        <v>1102</v>
      </c>
    </row>
    <row r="4" spans="1:6" x14ac:dyDescent="0.25">
      <c r="A4" s="329" t="s">
        <v>266</v>
      </c>
      <c r="B4" s="332" t="s">
        <v>1036</v>
      </c>
      <c r="C4" s="335" t="s">
        <v>1090</v>
      </c>
      <c r="D4" s="338">
        <v>0</v>
      </c>
      <c r="E4" s="117" t="s">
        <v>1091</v>
      </c>
      <c r="F4" s="118" t="s">
        <v>1092</v>
      </c>
    </row>
    <row r="5" spans="1:6" x14ac:dyDescent="0.25">
      <c r="A5" s="330"/>
      <c r="B5" s="333"/>
      <c r="C5" s="336"/>
      <c r="D5" s="339"/>
      <c r="E5" s="119" t="s">
        <v>1093</v>
      </c>
      <c r="F5" s="118" t="s">
        <v>1094</v>
      </c>
    </row>
    <row r="6" spans="1:6" x14ac:dyDescent="0.25">
      <c r="A6" s="331"/>
      <c r="B6" s="334"/>
      <c r="C6" s="337"/>
      <c r="D6" s="340"/>
      <c r="E6" s="120"/>
      <c r="F6" s="118" t="s">
        <v>423</v>
      </c>
    </row>
    <row r="7" spans="1:6" x14ac:dyDescent="0.25">
      <c r="A7" s="161" t="s">
        <v>460</v>
      </c>
      <c r="B7" s="160" t="s">
        <v>1069</v>
      </c>
      <c r="C7" s="162"/>
      <c r="D7" s="124"/>
      <c r="E7" s="120"/>
      <c r="F7" s="118"/>
    </row>
    <row r="8" spans="1:6" x14ac:dyDescent="0.25">
      <c r="A8" s="116" t="s">
        <v>146</v>
      </c>
      <c r="B8" s="160" t="s">
        <v>1069</v>
      </c>
      <c r="C8" s="162"/>
      <c r="D8" s="124"/>
      <c r="E8" s="120"/>
      <c r="F8" s="118"/>
    </row>
    <row r="9" spans="1:6" x14ac:dyDescent="0.25">
      <c r="A9" s="121" t="s">
        <v>179</v>
      </c>
      <c r="B9" s="122" t="s">
        <v>1069</v>
      </c>
      <c r="C9" s="123"/>
      <c r="D9" s="124"/>
      <c r="E9" s="105"/>
      <c r="F9" s="118"/>
    </row>
    <row r="10" spans="1:6" x14ac:dyDescent="0.25">
      <c r="A10" s="329" t="s">
        <v>176</v>
      </c>
      <c r="B10" s="332" t="s">
        <v>1036</v>
      </c>
      <c r="C10" s="335" t="s">
        <v>1095</v>
      </c>
      <c r="D10" s="341">
        <v>0</v>
      </c>
      <c r="E10" s="117" t="s">
        <v>1096</v>
      </c>
      <c r="F10" s="108">
        <v>1</v>
      </c>
    </row>
    <row r="11" spans="1:6" x14ac:dyDescent="0.25">
      <c r="A11" s="330"/>
      <c r="B11" s="333"/>
      <c r="C11" s="336"/>
      <c r="D11" s="342"/>
      <c r="E11" s="119" t="s">
        <v>1097</v>
      </c>
      <c r="F11" s="109">
        <v>2</v>
      </c>
    </row>
    <row r="12" spans="1:6" x14ac:dyDescent="0.25">
      <c r="A12" s="330"/>
      <c r="B12" s="333"/>
      <c r="C12" s="336"/>
      <c r="D12" s="342"/>
      <c r="E12" s="119" t="s">
        <v>1098</v>
      </c>
      <c r="F12" s="109">
        <v>3</v>
      </c>
    </row>
    <row r="13" spans="1:6" x14ac:dyDescent="0.25">
      <c r="A13" s="330"/>
      <c r="B13" s="333"/>
      <c r="C13" s="336"/>
      <c r="D13" s="342"/>
      <c r="E13" s="136" t="s">
        <v>1150</v>
      </c>
      <c r="F13" s="165" t="s">
        <v>1151</v>
      </c>
    </row>
    <row r="14" spans="1:6" x14ac:dyDescent="0.25">
      <c r="A14" s="331"/>
      <c r="B14" s="334"/>
      <c r="C14" s="337"/>
      <c r="D14" s="343"/>
      <c r="E14" s="120" t="s">
        <v>1147</v>
      </c>
      <c r="F14" s="110" t="s">
        <v>1148</v>
      </c>
    </row>
    <row r="15" spans="1:6" x14ac:dyDescent="0.25">
      <c r="A15" s="344" t="s">
        <v>296</v>
      </c>
      <c r="B15" s="346" t="s">
        <v>1036</v>
      </c>
      <c r="C15" s="348" t="s">
        <v>1099</v>
      </c>
      <c r="D15" s="341">
        <v>0</v>
      </c>
      <c r="E15" s="110" t="s">
        <v>1120</v>
      </c>
      <c r="F15" s="110" t="s">
        <v>1120</v>
      </c>
    </row>
    <row r="16" spans="1:6" x14ac:dyDescent="0.25">
      <c r="A16" s="345"/>
      <c r="B16" s="347"/>
      <c r="C16" s="349"/>
      <c r="D16" s="343"/>
      <c r="E16" s="108" t="s">
        <v>1119</v>
      </c>
      <c r="F16" s="108" t="s">
        <v>1119</v>
      </c>
    </row>
    <row r="17" spans="1:6" x14ac:dyDescent="0.25">
      <c r="A17" s="344" t="s">
        <v>297</v>
      </c>
      <c r="B17" s="346" t="s">
        <v>1036</v>
      </c>
      <c r="C17" s="348" t="s">
        <v>1100</v>
      </c>
      <c r="D17" s="341">
        <v>0</v>
      </c>
      <c r="E17" s="110" t="s">
        <v>1120</v>
      </c>
      <c r="F17" s="110" t="s">
        <v>1120</v>
      </c>
    </row>
    <row r="18" spans="1:6" x14ac:dyDescent="0.25">
      <c r="A18" s="345"/>
      <c r="B18" s="347"/>
      <c r="C18" s="349"/>
      <c r="D18" s="343"/>
      <c r="E18" s="108" t="s">
        <v>1119</v>
      </c>
      <c r="F18" s="108" t="s">
        <v>1119</v>
      </c>
    </row>
    <row r="19" spans="1:6" x14ac:dyDescent="0.25">
      <c r="A19" s="344" t="s">
        <v>298</v>
      </c>
      <c r="B19" s="346" t="s">
        <v>1036</v>
      </c>
      <c r="C19" s="348" t="s">
        <v>1099</v>
      </c>
      <c r="D19" s="341">
        <v>0</v>
      </c>
      <c r="E19" s="110" t="s">
        <v>1120</v>
      </c>
      <c r="F19" s="110" t="s">
        <v>1120</v>
      </c>
    </row>
    <row r="20" spans="1:6" x14ac:dyDescent="0.25">
      <c r="A20" s="345"/>
      <c r="B20" s="347"/>
      <c r="C20" s="349"/>
      <c r="D20" s="343"/>
      <c r="E20" s="108" t="s">
        <v>1119</v>
      </c>
      <c r="F20" s="108" t="s">
        <v>1119</v>
      </c>
    </row>
    <row r="21" spans="1:6" x14ac:dyDescent="0.25">
      <c r="A21" s="116" t="s">
        <v>743</v>
      </c>
      <c r="B21" s="122" t="s">
        <v>1036</v>
      </c>
      <c r="C21" s="163" t="s">
        <v>743</v>
      </c>
      <c r="D21" s="153">
        <v>0</v>
      </c>
      <c r="E21" s="108" t="s">
        <v>1102</v>
      </c>
      <c r="F21" s="118" t="s">
        <v>1102</v>
      </c>
    </row>
    <row r="22" spans="1:6" x14ac:dyDescent="0.25">
      <c r="A22" s="116" t="s">
        <v>183</v>
      </c>
      <c r="B22" s="104" t="s">
        <v>1036</v>
      </c>
      <c r="C22" s="125" t="s">
        <v>1101</v>
      </c>
      <c r="D22" s="126">
        <v>0</v>
      </c>
      <c r="E22" s="108" t="s">
        <v>1102</v>
      </c>
      <c r="F22" s="118" t="s">
        <v>1102</v>
      </c>
    </row>
    <row r="23" spans="1:6" x14ac:dyDescent="0.25">
      <c r="A23" s="116" t="s">
        <v>184</v>
      </c>
      <c r="B23" s="104" t="s">
        <v>1036</v>
      </c>
      <c r="C23" s="125" t="s">
        <v>1103</v>
      </c>
      <c r="D23" s="126">
        <v>0</v>
      </c>
      <c r="E23" s="108" t="s">
        <v>1102</v>
      </c>
      <c r="F23" s="118" t="s">
        <v>1102</v>
      </c>
    </row>
    <row r="24" spans="1:6" x14ac:dyDescent="0.25">
      <c r="A24" s="350" t="s">
        <v>185</v>
      </c>
      <c r="B24" s="352" t="s">
        <v>1036</v>
      </c>
      <c r="C24" s="348" t="s">
        <v>1104</v>
      </c>
      <c r="D24" s="341">
        <v>0</v>
      </c>
      <c r="E24" s="108" t="s">
        <v>1091</v>
      </c>
      <c r="F24" s="108" t="b">
        <v>0</v>
      </c>
    </row>
    <row r="25" spans="1:6" x14ac:dyDescent="0.25">
      <c r="A25" s="351"/>
      <c r="B25" s="353"/>
      <c r="C25" s="349"/>
      <c r="D25" s="343"/>
      <c r="E25" s="108" t="s">
        <v>1093</v>
      </c>
      <c r="F25" s="110" t="b">
        <v>1</v>
      </c>
    </row>
  </sheetData>
  <mergeCells count="24">
    <mergeCell ref="A19:A20"/>
    <mergeCell ref="B19:B20"/>
    <mergeCell ref="C19:C20"/>
    <mergeCell ref="D19:D20"/>
    <mergeCell ref="A24:A25"/>
    <mergeCell ref="B24:B25"/>
    <mergeCell ref="C24:C25"/>
    <mergeCell ref="D24:D25"/>
    <mergeCell ref="A15:A16"/>
    <mergeCell ref="B15:B16"/>
    <mergeCell ref="C15:C16"/>
    <mergeCell ref="D15:D16"/>
    <mergeCell ref="A17:A18"/>
    <mergeCell ref="B17:B18"/>
    <mergeCell ref="C17:C18"/>
    <mergeCell ref="D17:D18"/>
    <mergeCell ref="A4:A6"/>
    <mergeCell ref="B4:B6"/>
    <mergeCell ref="C4:C6"/>
    <mergeCell ref="D4:D6"/>
    <mergeCell ref="A10:A14"/>
    <mergeCell ref="B10:B14"/>
    <mergeCell ref="C10:C14"/>
    <mergeCell ref="D10:D14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topLeftCell="B7" workbookViewId="0">
      <selection activeCell="E1" sqref="E1:F1"/>
    </sheetView>
  </sheetViews>
  <sheetFormatPr defaultRowHeight="15" x14ac:dyDescent="0.25"/>
  <cols>
    <col min="1" max="1" width="36.42578125" bestFit="1" customWidth="1"/>
    <col min="2" max="3" width="31.5703125" bestFit="1" customWidth="1"/>
    <col min="4" max="4" width="36.42578125" bestFit="1" customWidth="1"/>
    <col min="5" max="5" width="33" bestFit="1" customWidth="1"/>
    <col min="6" max="6" width="17.140625" bestFit="1" customWidth="1"/>
  </cols>
  <sheetData>
    <row r="1" spans="1:6" ht="25.5" x14ac:dyDescent="0.25">
      <c r="A1" s="26" t="s">
        <v>149</v>
      </c>
      <c r="B1" s="26" t="s">
        <v>169</v>
      </c>
      <c r="C1" s="26" t="s">
        <v>545</v>
      </c>
      <c r="D1" s="26" t="s">
        <v>765</v>
      </c>
      <c r="E1" s="26" t="s">
        <v>898</v>
      </c>
      <c r="F1" s="30" t="s">
        <v>769</v>
      </c>
    </row>
    <row r="2" spans="1:6" x14ac:dyDescent="0.25">
      <c r="A2" t="s">
        <v>169</v>
      </c>
      <c r="B2" t="s">
        <v>166</v>
      </c>
      <c r="C2" t="s">
        <v>169</v>
      </c>
      <c r="D2" t="s">
        <v>169</v>
      </c>
      <c r="E2" t="s">
        <v>771</v>
      </c>
      <c r="F2" t="s">
        <v>900</v>
      </c>
    </row>
    <row r="3" spans="1:6" x14ac:dyDescent="0.25">
      <c r="A3" t="s">
        <v>164</v>
      </c>
      <c r="B3" t="s">
        <v>167</v>
      </c>
      <c r="C3" t="s">
        <v>529</v>
      </c>
      <c r="D3" t="s">
        <v>759</v>
      </c>
      <c r="E3" t="s">
        <v>772</v>
      </c>
      <c r="F3" t="s">
        <v>901</v>
      </c>
    </row>
    <row r="4" spans="1:6" x14ac:dyDescent="0.25">
      <c r="A4" t="s">
        <v>165</v>
      </c>
      <c r="B4" t="s">
        <v>168</v>
      </c>
      <c r="C4" t="s">
        <v>530</v>
      </c>
      <c r="D4" t="s">
        <v>760</v>
      </c>
      <c r="E4" t="s">
        <v>773</v>
      </c>
      <c r="F4" t="s">
        <v>902</v>
      </c>
    </row>
    <row r="5" spans="1:6" x14ac:dyDescent="0.25">
      <c r="A5" t="s">
        <v>166</v>
      </c>
      <c r="B5" t="s">
        <v>157</v>
      </c>
      <c r="C5" t="s">
        <v>531</v>
      </c>
      <c r="D5" t="s">
        <v>761</v>
      </c>
      <c r="E5" t="s">
        <v>774</v>
      </c>
      <c r="F5" t="s">
        <v>903</v>
      </c>
    </row>
    <row r="6" spans="1:6" x14ac:dyDescent="0.25">
      <c r="A6" t="s">
        <v>167</v>
      </c>
      <c r="B6" t="s">
        <v>158</v>
      </c>
      <c r="C6" t="s">
        <v>532</v>
      </c>
      <c r="D6" t="s">
        <v>762</v>
      </c>
      <c r="E6" t="s">
        <v>775</v>
      </c>
      <c r="F6" t="s">
        <v>904</v>
      </c>
    </row>
    <row r="7" spans="1:6" x14ac:dyDescent="0.25">
      <c r="A7" t="s">
        <v>168</v>
      </c>
      <c r="B7" t="s">
        <v>159</v>
      </c>
      <c r="C7" t="s">
        <v>533</v>
      </c>
      <c r="D7" t="s">
        <v>165</v>
      </c>
      <c r="E7" t="s">
        <v>776</v>
      </c>
      <c r="F7" t="s">
        <v>905</v>
      </c>
    </row>
    <row r="8" spans="1:6" x14ac:dyDescent="0.25">
      <c r="A8" t="s">
        <v>157</v>
      </c>
      <c r="B8" t="s">
        <v>160</v>
      </c>
      <c r="C8" t="s">
        <v>534</v>
      </c>
      <c r="D8" t="s">
        <v>164</v>
      </c>
      <c r="E8" t="s">
        <v>777</v>
      </c>
      <c r="F8" t="s">
        <v>906</v>
      </c>
    </row>
    <row r="9" spans="1:6" x14ac:dyDescent="0.25">
      <c r="A9" t="s">
        <v>158</v>
      </c>
      <c r="B9" t="s">
        <v>161</v>
      </c>
      <c r="C9" t="s">
        <v>535</v>
      </c>
      <c r="D9" t="s">
        <v>763</v>
      </c>
      <c r="E9" t="s">
        <v>778</v>
      </c>
      <c r="F9" t="s">
        <v>907</v>
      </c>
    </row>
    <row r="10" spans="1:6" x14ac:dyDescent="0.25">
      <c r="A10" t="s">
        <v>159</v>
      </c>
      <c r="B10" t="s">
        <v>162</v>
      </c>
      <c r="C10" t="s">
        <v>536</v>
      </c>
      <c r="D10" t="s">
        <v>764</v>
      </c>
      <c r="E10" t="s">
        <v>779</v>
      </c>
      <c r="F10" t="s">
        <v>908</v>
      </c>
    </row>
    <row r="11" spans="1:6" x14ac:dyDescent="0.25">
      <c r="A11" t="s">
        <v>160</v>
      </c>
      <c r="B11" t="s">
        <v>163</v>
      </c>
      <c r="C11" t="s">
        <v>537</v>
      </c>
      <c r="D11" t="s">
        <v>166</v>
      </c>
      <c r="E11" t="s">
        <v>780</v>
      </c>
      <c r="F11" t="s">
        <v>909</v>
      </c>
    </row>
    <row r="12" spans="1:6" x14ac:dyDescent="0.25">
      <c r="A12" t="s">
        <v>161</v>
      </c>
      <c r="C12" t="s">
        <v>538</v>
      </c>
      <c r="D12" t="s">
        <v>167</v>
      </c>
      <c r="E12" t="s">
        <v>781</v>
      </c>
      <c r="F12" t="s">
        <v>910</v>
      </c>
    </row>
    <row r="13" spans="1:6" x14ac:dyDescent="0.25">
      <c r="A13" t="s">
        <v>162</v>
      </c>
      <c r="C13" t="s">
        <v>539</v>
      </c>
      <c r="D13" t="s">
        <v>168</v>
      </c>
      <c r="E13" t="s">
        <v>782</v>
      </c>
      <c r="F13" t="s">
        <v>911</v>
      </c>
    </row>
    <row r="14" spans="1:6" x14ac:dyDescent="0.25">
      <c r="A14" t="s">
        <v>163</v>
      </c>
      <c r="C14" t="s">
        <v>540</v>
      </c>
      <c r="D14" t="s">
        <v>157</v>
      </c>
      <c r="E14" t="s">
        <v>783</v>
      </c>
      <c r="F14" t="s">
        <v>912</v>
      </c>
    </row>
    <row r="15" spans="1:6" x14ac:dyDescent="0.25">
      <c r="C15" t="s">
        <v>541</v>
      </c>
      <c r="D15" t="s">
        <v>158</v>
      </c>
      <c r="E15" t="s">
        <v>784</v>
      </c>
      <c r="F15" t="s">
        <v>913</v>
      </c>
    </row>
    <row r="16" spans="1:6" x14ac:dyDescent="0.25">
      <c r="C16" t="s">
        <v>542</v>
      </c>
      <c r="D16" t="s">
        <v>159</v>
      </c>
      <c r="E16" t="s">
        <v>785</v>
      </c>
      <c r="F16" t="s">
        <v>914</v>
      </c>
    </row>
    <row r="17" spans="3:6" x14ac:dyDescent="0.25">
      <c r="C17" t="s">
        <v>543</v>
      </c>
      <c r="D17" t="s">
        <v>160</v>
      </c>
      <c r="E17" t="s">
        <v>786</v>
      </c>
      <c r="F17" t="s">
        <v>915</v>
      </c>
    </row>
    <row r="18" spans="3:6" x14ac:dyDescent="0.25">
      <c r="C18" t="s">
        <v>544</v>
      </c>
      <c r="D18" t="s">
        <v>161</v>
      </c>
      <c r="E18" t="s">
        <v>787</v>
      </c>
      <c r="F18" t="s">
        <v>916</v>
      </c>
    </row>
    <row r="19" spans="3:6" x14ac:dyDescent="0.25">
      <c r="C19" t="s">
        <v>163</v>
      </c>
      <c r="D19" t="s">
        <v>162</v>
      </c>
      <c r="E19" t="s">
        <v>788</v>
      </c>
      <c r="F19" t="s">
        <v>917</v>
      </c>
    </row>
    <row r="20" spans="3:6" x14ac:dyDescent="0.25">
      <c r="D20" t="s">
        <v>163</v>
      </c>
      <c r="E20" t="s">
        <v>789</v>
      </c>
      <c r="F20" t="s">
        <v>918</v>
      </c>
    </row>
    <row r="21" spans="3:6" x14ac:dyDescent="0.25">
      <c r="E21" t="s">
        <v>790</v>
      </c>
      <c r="F21" t="s">
        <v>919</v>
      </c>
    </row>
    <row r="22" spans="3:6" x14ac:dyDescent="0.25">
      <c r="E22" t="s">
        <v>791</v>
      </c>
      <c r="F22" t="s">
        <v>920</v>
      </c>
    </row>
    <row r="23" spans="3:6" x14ac:dyDescent="0.25">
      <c r="E23" t="s">
        <v>792</v>
      </c>
      <c r="F23" t="s">
        <v>921</v>
      </c>
    </row>
    <row r="24" spans="3:6" x14ac:dyDescent="0.25">
      <c r="E24" t="s">
        <v>793</v>
      </c>
      <c r="F24" t="s">
        <v>922</v>
      </c>
    </row>
    <row r="25" spans="3:6" x14ac:dyDescent="0.25">
      <c r="E25" t="s">
        <v>794</v>
      </c>
      <c r="F25" t="s">
        <v>923</v>
      </c>
    </row>
    <row r="26" spans="3:6" x14ac:dyDescent="0.25">
      <c r="E26" t="s">
        <v>795</v>
      </c>
      <c r="F26" t="s">
        <v>924</v>
      </c>
    </row>
    <row r="27" spans="3:6" x14ac:dyDescent="0.25">
      <c r="E27" t="s">
        <v>796</v>
      </c>
      <c r="F27" t="s">
        <v>925</v>
      </c>
    </row>
    <row r="28" spans="3:6" x14ac:dyDescent="0.25">
      <c r="E28" t="s">
        <v>797</v>
      </c>
      <c r="F28" t="s">
        <v>926</v>
      </c>
    </row>
    <row r="29" spans="3:6" x14ac:dyDescent="0.25">
      <c r="E29" t="s">
        <v>798</v>
      </c>
      <c r="F29" t="s">
        <v>927</v>
      </c>
    </row>
    <row r="30" spans="3:6" x14ac:dyDescent="0.25">
      <c r="E30" t="s">
        <v>799</v>
      </c>
      <c r="F30" t="s">
        <v>928</v>
      </c>
    </row>
    <row r="31" spans="3:6" x14ac:dyDescent="0.25">
      <c r="E31" t="s">
        <v>800</v>
      </c>
      <c r="F31" t="s">
        <v>929</v>
      </c>
    </row>
    <row r="32" spans="3:6" x14ac:dyDescent="0.25">
      <c r="E32" t="s">
        <v>801</v>
      </c>
      <c r="F32" t="s">
        <v>930</v>
      </c>
    </row>
    <row r="33" spans="5:6" x14ac:dyDescent="0.25">
      <c r="E33" t="s">
        <v>802</v>
      </c>
      <c r="F33" t="s">
        <v>931</v>
      </c>
    </row>
    <row r="34" spans="5:6" x14ac:dyDescent="0.25">
      <c r="E34" t="s">
        <v>803</v>
      </c>
      <c r="F34" t="s">
        <v>932</v>
      </c>
    </row>
    <row r="35" spans="5:6" x14ac:dyDescent="0.25">
      <c r="E35" t="s">
        <v>804</v>
      </c>
      <c r="F35" t="s">
        <v>933</v>
      </c>
    </row>
    <row r="36" spans="5:6" x14ac:dyDescent="0.25">
      <c r="E36" t="s">
        <v>805</v>
      </c>
      <c r="F36" t="s">
        <v>934</v>
      </c>
    </row>
    <row r="37" spans="5:6" x14ac:dyDescent="0.25">
      <c r="E37" t="s">
        <v>806</v>
      </c>
      <c r="F37" t="s">
        <v>935</v>
      </c>
    </row>
    <row r="38" spans="5:6" x14ac:dyDescent="0.25">
      <c r="E38" t="s">
        <v>807</v>
      </c>
    </row>
    <row r="39" spans="5:6" x14ac:dyDescent="0.25">
      <c r="E39" t="s">
        <v>808</v>
      </c>
    </row>
    <row r="40" spans="5:6" x14ac:dyDescent="0.25">
      <c r="E40" t="s">
        <v>809</v>
      </c>
    </row>
    <row r="41" spans="5:6" x14ac:dyDescent="0.25">
      <c r="E41" t="s">
        <v>810</v>
      </c>
    </row>
    <row r="42" spans="5:6" x14ac:dyDescent="0.25">
      <c r="E42" t="s">
        <v>811</v>
      </c>
    </row>
    <row r="43" spans="5:6" x14ac:dyDescent="0.25">
      <c r="E43" t="s">
        <v>812</v>
      </c>
    </row>
    <row r="44" spans="5:6" x14ac:dyDescent="0.25">
      <c r="E44" t="s">
        <v>813</v>
      </c>
    </row>
    <row r="45" spans="5:6" x14ac:dyDescent="0.25">
      <c r="E45" t="s">
        <v>814</v>
      </c>
    </row>
    <row r="46" spans="5:6" x14ac:dyDescent="0.25">
      <c r="E46" t="s">
        <v>815</v>
      </c>
    </row>
    <row r="47" spans="5:6" x14ac:dyDescent="0.25">
      <c r="E47" t="s">
        <v>816</v>
      </c>
    </row>
    <row r="48" spans="5:6" x14ac:dyDescent="0.25">
      <c r="E48" t="s">
        <v>817</v>
      </c>
    </row>
    <row r="49" spans="5:5" x14ac:dyDescent="0.25">
      <c r="E49" t="s">
        <v>818</v>
      </c>
    </row>
    <row r="50" spans="5:5" x14ac:dyDescent="0.25">
      <c r="E50" t="s">
        <v>819</v>
      </c>
    </row>
    <row r="51" spans="5:5" x14ac:dyDescent="0.25">
      <c r="E51" t="s">
        <v>820</v>
      </c>
    </row>
    <row r="52" spans="5:5" x14ac:dyDescent="0.25">
      <c r="E52" t="s">
        <v>821</v>
      </c>
    </row>
    <row r="53" spans="5:5" x14ac:dyDescent="0.25">
      <c r="E53" t="s">
        <v>822</v>
      </c>
    </row>
    <row r="54" spans="5:5" x14ac:dyDescent="0.25">
      <c r="E54" t="s">
        <v>823</v>
      </c>
    </row>
    <row r="55" spans="5:5" x14ac:dyDescent="0.25">
      <c r="E55" t="s">
        <v>824</v>
      </c>
    </row>
    <row r="56" spans="5:5" x14ac:dyDescent="0.25">
      <c r="E56" t="s">
        <v>825</v>
      </c>
    </row>
    <row r="57" spans="5:5" x14ac:dyDescent="0.25">
      <c r="E57" t="s">
        <v>826</v>
      </c>
    </row>
    <row r="58" spans="5:5" x14ac:dyDescent="0.25">
      <c r="E58" t="s">
        <v>827</v>
      </c>
    </row>
    <row r="59" spans="5:5" x14ac:dyDescent="0.25">
      <c r="E59" t="s">
        <v>828</v>
      </c>
    </row>
    <row r="60" spans="5:5" x14ac:dyDescent="0.25">
      <c r="E60" t="s">
        <v>829</v>
      </c>
    </row>
    <row r="61" spans="5:5" x14ac:dyDescent="0.25">
      <c r="E61" t="s">
        <v>830</v>
      </c>
    </row>
    <row r="62" spans="5:5" x14ac:dyDescent="0.25">
      <c r="E62" t="s">
        <v>831</v>
      </c>
    </row>
    <row r="63" spans="5:5" x14ac:dyDescent="0.25">
      <c r="E63" t="s">
        <v>832</v>
      </c>
    </row>
    <row r="64" spans="5:5" x14ac:dyDescent="0.25">
      <c r="E64" t="s">
        <v>833</v>
      </c>
    </row>
    <row r="65" spans="5:5" x14ac:dyDescent="0.25">
      <c r="E65" t="s">
        <v>834</v>
      </c>
    </row>
    <row r="66" spans="5:5" x14ac:dyDescent="0.25">
      <c r="E66" t="s">
        <v>835</v>
      </c>
    </row>
    <row r="67" spans="5:5" x14ac:dyDescent="0.25">
      <c r="E67" t="s">
        <v>836</v>
      </c>
    </row>
    <row r="68" spans="5:5" x14ac:dyDescent="0.25">
      <c r="E68" t="s">
        <v>837</v>
      </c>
    </row>
    <row r="69" spans="5:5" x14ac:dyDescent="0.25">
      <c r="E69" t="s">
        <v>838</v>
      </c>
    </row>
    <row r="70" spans="5:5" x14ac:dyDescent="0.25">
      <c r="E70" t="s">
        <v>839</v>
      </c>
    </row>
    <row r="71" spans="5:5" x14ac:dyDescent="0.25">
      <c r="E71" t="s">
        <v>840</v>
      </c>
    </row>
    <row r="72" spans="5:5" x14ac:dyDescent="0.25">
      <c r="E72" t="s">
        <v>841</v>
      </c>
    </row>
    <row r="73" spans="5:5" x14ac:dyDescent="0.25">
      <c r="E73" t="s">
        <v>842</v>
      </c>
    </row>
    <row r="74" spans="5:5" x14ac:dyDescent="0.25">
      <c r="E74" t="s">
        <v>843</v>
      </c>
    </row>
    <row r="75" spans="5:5" x14ac:dyDescent="0.25">
      <c r="E75" t="s">
        <v>844</v>
      </c>
    </row>
    <row r="76" spans="5:5" x14ac:dyDescent="0.25">
      <c r="E76" t="s">
        <v>845</v>
      </c>
    </row>
    <row r="77" spans="5:5" x14ac:dyDescent="0.25">
      <c r="E77" t="s">
        <v>846</v>
      </c>
    </row>
    <row r="78" spans="5:5" x14ac:dyDescent="0.25">
      <c r="E78" t="s">
        <v>847</v>
      </c>
    </row>
    <row r="79" spans="5:5" x14ac:dyDescent="0.25">
      <c r="E79" t="s">
        <v>848</v>
      </c>
    </row>
    <row r="80" spans="5:5" x14ac:dyDescent="0.25">
      <c r="E80" t="s">
        <v>849</v>
      </c>
    </row>
    <row r="81" spans="5:5" x14ac:dyDescent="0.25">
      <c r="E81" t="s">
        <v>850</v>
      </c>
    </row>
    <row r="82" spans="5:5" x14ac:dyDescent="0.25">
      <c r="E82" t="s">
        <v>851</v>
      </c>
    </row>
    <row r="83" spans="5:5" x14ac:dyDescent="0.25">
      <c r="E83" t="s">
        <v>852</v>
      </c>
    </row>
    <row r="84" spans="5:5" x14ac:dyDescent="0.25">
      <c r="E84" t="s">
        <v>853</v>
      </c>
    </row>
    <row r="85" spans="5:5" x14ac:dyDescent="0.25">
      <c r="E85" t="s">
        <v>854</v>
      </c>
    </row>
    <row r="86" spans="5:5" x14ac:dyDescent="0.25">
      <c r="E86" t="s">
        <v>855</v>
      </c>
    </row>
    <row r="87" spans="5:5" x14ac:dyDescent="0.25">
      <c r="E87" t="s">
        <v>856</v>
      </c>
    </row>
    <row r="88" spans="5:5" x14ac:dyDescent="0.25">
      <c r="E88" t="s">
        <v>857</v>
      </c>
    </row>
    <row r="89" spans="5:5" x14ac:dyDescent="0.25">
      <c r="E89" t="s">
        <v>858</v>
      </c>
    </row>
    <row r="90" spans="5:5" x14ac:dyDescent="0.25">
      <c r="E90" t="s">
        <v>859</v>
      </c>
    </row>
    <row r="91" spans="5:5" x14ac:dyDescent="0.25">
      <c r="E91" t="s">
        <v>860</v>
      </c>
    </row>
    <row r="92" spans="5:5" x14ac:dyDescent="0.25">
      <c r="E92" t="s">
        <v>861</v>
      </c>
    </row>
    <row r="93" spans="5:5" x14ac:dyDescent="0.25">
      <c r="E93" t="s">
        <v>862</v>
      </c>
    </row>
    <row r="94" spans="5:5" x14ac:dyDescent="0.25">
      <c r="E94" t="s">
        <v>863</v>
      </c>
    </row>
    <row r="95" spans="5:5" x14ac:dyDescent="0.25">
      <c r="E95" t="s">
        <v>864</v>
      </c>
    </row>
    <row r="96" spans="5:5" x14ac:dyDescent="0.25">
      <c r="E96" t="s">
        <v>865</v>
      </c>
    </row>
    <row r="97" spans="5:5" x14ac:dyDescent="0.25">
      <c r="E97" t="s">
        <v>866</v>
      </c>
    </row>
    <row r="98" spans="5:5" x14ac:dyDescent="0.25">
      <c r="E98" t="s">
        <v>867</v>
      </c>
    </row>
    <row r="99" spans="5:5" x14ac:dyDescent="0.25">
      <c r="E99" t="s">
        <v>868</v>
      </c>
    </row>
    <row r="100" spans="5:5" x14ac:dyDescent="0.25">
      <c r="E100" t="s">
        <v>869</v>
      </c>
    </row>
    <row r="101" spans="5:5" x14ac:dyDescent="0.25">
      <c r="E101" t="s">
        <v>870</v>
      </c>
    </row>
    <row r="102" spans="5:5" x14ac:dyDescent="0.25">
      <c r="E102" t="s">
        <v>871</v>
      </c>
    </row>
    <row r="103" spans="5:5" x14ac:dyDescent="0.25">
      <c r="E103" t="s">
        <v>872</v>
      </c>
    </row>
    <row r="104" spans="5:5" x14ac:dyDescent="0.25">
      <c r="E104" t="s">
        <v>873</v>
      </c>
    </row>
    <row r="105" spans="5:5" x14ac:dyDescent="0.25">
      <c r="E105" t="s">
        <v>874</v>
      </c>
    </row>
    <row r="106" spans="5:5" x14ac:dyDescent="0.25">
      <c r="E106" t="s">
        <v>875</v>
      </c>
    </row>
    <row r="107" spans="5:5" x14ac:dyDescent="0.25">
      <c r="E107" t="s">
        <v>876</v>
      </c>
    </row>
    <row r="108" spans="5:5" x14ac:dyDescent="0.25">
      <c r="E108" t="s">
        <v>877</v>
      </c>
    </row>
    <row r="109" spans="5:5" x14ac:dyDescent="0.25">
      <c r="E109" t="s">
        <v>878</v>
      </c>
    </row>
    <row r="110" spans="5:5" x14ac:dyDescent="0.25">
      <c r="E110" t="s">
        <v>879</v>
      </c>
    </row>
    <row r="111" spans="5:5" x14ac:dyDescent="0.25">
      <c r="E111" t="s">
        <v>880</v>
      </c>
    </row>
    <row r="112" spans="5:5" x14ac:dyDescent="0.25">
      <c r="E112" t="s">
        <v>881</v>
      </c>
    </row>
    <row r="113" spans="5:5" x14ac:dyDescent="0.25">
      <c r="E113" t="s">
        <v>882</v>
      </c>
    </row>
    <row r="114" spans="5:5" x14ac:dyDescent="0.25">
      <c r="E114" t="s">
        <v>883</v>
      </c>
    </row>
    <row r="115" spans="5:5" x14ac:dyDescent="0.25">
      <c r="E115" t="s">
        <v>884</v>
      </c>
    </row>
    <row r="116" spans="5:5" x14ac:dyDescent="0.25">
      <c r="E116" t="s">
        <v>885</v>
      </c>
    </row>
    <row r="117" spans="5:5" x14ac:dyDescent="0.25">
      <c r="E117" t="s">
        <v>886</v>
      </c>
    </row>
    <row r="118" spans="5:5" x14ac:dyDescent="0.25">
      <c r="E118" t="s">
        <v>887</v>
      </c>
    </row>
    <row r="119" spans="5:5" x14ac:dyDescent="0.25">
      <c r="E119" t="s">
        <v>888</v>
      </c>
    </row>
    <row r="120" spans="5:5" x14ac:dyDescent="0.25">
      <c r="E120" t="s">
        <v>889</v>
      </c>
    </row>
    <row r="121" spans="5:5" x14ac:dyDescent="0.25">
      <c r="E121" t="s">
        <v>890</v>
      </c>
    </row>
    <row r="122" spans="5:5" x14ac:dyDescent="0.25">
      <c r="E122" t="s">
        <v>891</v>
      </c>
    </row>
    <row r="123" spans="5:5" x14ac:dyDescent="0.25">
      <c r="E123" t="s">
        <v>892</v>
      </c>
    </row>
    <row r="124" spans="5:5" x14ac:dyDescent="0.25">
      <c r="E124" t="s">
        <v>893</v>
      </c>
    </row>
    <row r="125" spans="5:5" x14ac:dyDescent="0.25">
      <c r="E125" t="s">
        <v>894</v>
      </c>
    </row>
    <row r="126" spans="5:5" x14ac:dyDescent="0.25">
      <c r="E126" t="s">
        <v>895</v>
      </c>
    </row>
    <row r="127" spans="5:5" x14ac:dyDescent="0.25">
      <c r="E127" t="s">
        <v>896</v>
      </c>
    </row>
    <row r="128" spans="5:5" x14ac:dyDescent="0.25">
      <c r="E128" t="s">
        <v>897</v>
      </c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T9"/>
  <sheetViews>
    <sheetView workbookViewId="0">
      <pane ySplit="5" topLeftCell="A7" activePane="bottomLeft" state="frozen"/>
      <selection pane="bottomLeft" activeCell="J38" sqref="J38"/>
    </sheetView>
  </sheetViews>
  <sheetFormatPr defaultColWidth="22.140625" defaultRowHeight="15" x14ac:dyDescent="0.25"/>
  <cols>
    <col min="1" max="1" width="13.140625" style="20" bestFit="1" customWidth="1"/>
    <col min="2" max="2" width="19.5703125" style="20" bestFit="1" customWidth="1"/>
    <col min="3" max="3" width="21.5703125" style="20" bestFit="1" customWidth="1"/>
    <col min="4" max="4" width="14.140625" style="20" customWidth="1"/>
    <col min="5" max="5" width="24.140625" style="20" bestFit="1" customWidth="1"/>
    <col min="6" max="6" width="14.5703125" style="20" customWidth="1"/>
    <col min="7" max="7" width="13.140625" style="20" bestFit="1" customWidth="1"/>
    <col min="8" max="8" width="22.140625" style="20"/>
    <col min="9" max="9" width="18.85546875" style="20" bestFit="1" customWidth="1"/>
    <col min="10" max="10" width="16.28515625" style="20" bestFit="1" customWidth="1"/>
    <col min="11" max="11" width="15.140625" style="20" bestFit="1" customWidth="1"/>
    <col min="12" max="12" width="14.85546875" style="20" bestFit="1" customWidth="1"/>
    <col min="13" max="13" width="9.7109375" style="20" bestFit="1" customWidth="1"/>
    <col min="14" max="14" width="14.42578125" style="20" bestFit="1" customWidth="1"/>
    <col min="15" max="15" width="27.140625" style="20" bestFit="1" customWidth="1"/>
    <col min="16" max="16" width="27.5703125" style="20" bestFit="1" customWidth="1"/>
    <col min="17" max="17" width="8.5703125" style="20" bestFit="1" customWidth="1"/>
    <col min="18" max="18" width="24.140625" style="20" bestFit="1" customWidth="1"/>
    <col min="19" max="19" width="15.28515625" style="20" bestFit="1" customWidth="1"/>
    <col min="20" max="20" width="16.28515625" style="20" bestFit="1" customWidth="1"/>
    <col min="21" max="16384" width="22.140625" style="20"/>
  </cols>
  <sheetData>
    <row r="1" spans="1:20" ht="18.75" x14ac:dyDescent="0.25">
      <c r="A1" s="19" t="s">
        <v>9</v>
      </c>
    </row>
    <row r="2" spans="1:20" x14ac:dyDescent="0.25">
      <c r="B2" s="21" t="s">
        <v>104</v>
      </c>
      <c r="C2" s="32" t="s">
        <v>14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</row>
    <row r="3" spans="1:20" ht="25.5" x14ac:dyDescent="0.25">
      <c r="A3" s="21" t="s">
        <v>105</v>
      </c>
      <c r="B3" s="29" t="s">
        <v>106</v>
      </c>
      <c r="C3" s="29" t="s">
        <v>107</v>
      </c>
      <c r="D3" s="29" t="s">
        <v>108</v>
      </c>
      <c r="E3" s="29" t="s">
        <v>109</v>
      </c>
      <c r="F3" s="29" t="s">
        <v>110</v>
      </c>
      <c r="G3" s="29" t="s">
        <v>111</v>
      </c>
      <c r="H3" s="29" t="s">
        <v>112</v>
      </c>
      <c r="I3" s="29" t="s">
        <v>113</v>
      </c>
      <c r="J3" s="29" t="s">
        <v>114</v>
      </c>
      <c r="K3" s="29" t="s">
        <v>115</v>
      </c>
      <c r="L3" s="29" t="s">
        <v>116</v>
      </c>
      <c r="M3" s="29" t="s">
        <v>117</v>
      </c>
      <c r="N3" s="29" t="s">
        <v>118</v>
      </c>
      <c r="O3" s="29" t="s">
        <v>119</v>
      </c>
      <c r="P3" s="29" t="s">
        <v>120</v>
      </c>
      <c r="Q3" s="29" t="s">
        <v>121</v>
      </c>
      <c r="R3" s="29" t="s">
        <v>122</v>
      </c>
      <c r="S3" s="29" t="s">
        <v>123</v>
      </c>
      <c r="T3" s="29" t="s">
        <v>124</v>
      </c>
    </row>
    <row r="4" spans="1:20" ht="25.5" x14ac:dyDescent="0.25">
      <c r="A4" s="21" t="s">
        <v>1145</v>
      </c>
      <c r="B4" s="30" t="s">
        <v>126</v>
      </c>
      <c r="C4" s="30" t="s">
        <v>127</v>
      </c>
      <c r="D4" s="30" t="s">
        <v>128</v>
      </c>
      <c r="E4" s="30" t="s">
        <v>129</v>
      </c>
      <c r="F4" s="30" t="s">
        <v>130</v>
      </c>
      <c r="G4" s="30" t="s">
        <v>131</v>
      </c>
      <c r="H4" s="30" t="s">
        <v>132</v>
      </c>
      <c r="I4" s="30" t="s">
        <v>133</v>
      </c>
      <c r="J4" s="30" t="s">
        <v>134</v>
      </c>
      <c r="K4" s="30" t="s">
        <v>135</v>
      </c>
      <c r="L4" s="30" t="s">
        <v>136</v>
      </c>
      <c r="M4" s="30" t="s">
        <v>137</v>
      </c>
      <c r="N4" s="30" t="s">
        <v>138</v>
      </c>
      <c r="O4" s="30" t="s">
        <v>139</v>
      </c>
      <c r="P4" s="30" t="s">
        <v>140</v>
      </c>
      <c r="Q4" s="30" t="s">
        <v>141</v>
      </c>
      <c r="R4" s="30" t="s">
        <v>142</v>
      </c>
      <c r="S4" s="30" t="s">
        <v>143</v>
      </c>
      <c r="T4" s="30" t="s">
        <v>144</v>
      </c>
    </row>
    <row r="5" spans="1:20" s="64" customFormat="1" ht="140.25" hidden="1" x14ac:dyDescent="0.25">
      <c r="A5" s="28" t="s">
        <v>1143</v>
      </c>
      <c r="B5" s="67" t="s">
        <v>1123</v>
      </c>
      <c r="C5" s="68" t="s">
        <v>1124</v>
      </c>
      <c r="D5" s="68" t="s">
        <v>1125</v>
      </c>
      <c r="E5" s="68" t="s">
        <v>1126</v>
      </c>
      <c r="F5" s="68" t="s">
        <v>1127</v>
      </c>
      <c r="G5" s="68" t="s">
        <v>1128</v>
      </c>
      <c r="H5" s="68" t="s">
        <v>1129</v>
      </c>
      <c r="I5" s="68" t="s">
        <v>1130</v>
      </c>
      <c r="J5" s="39" t="s">
        <v>1131</v>
      </c>
      <c r="K5" s="68" t="s">
        <v>1132</v>
      </c>
      <c r="L5" s="68" t="s">
        <v>1133</v>
      </c>
      <c r="M5" s="68" t="s">
        <v>1134</v>
      </c>
      <c r="N5" s="68" t="s">
        <v>1135</v>
      </c>
      <c r="O5" s="39" t="s">
        <v>1131</v>
      </c>
      <c r="P5" s="39" t="s">
        <v>1131</v>
      </c>
      <c r="Q5" s="68" t="s">
        <v>1136</v>
      </c>
      <c r="R5" s="68" t="s">
        <v>1137</v>
      </c>
      <c r="S5" s="68" t="s">
        <v>1138</v>
      </c>
      <c r="T5" s="68" t="s">
        <v>1139</v>
      </c>
    </row>
    <row r="6" spans="1:20" s="23" customFormat="1" ht="11.25" hidden="1" x14ac:dyDescent="0.2">
      <c r="A6" s="71" t="s">
        <v>1001</v>
      </c>
      <c r="B6" s="72"/>
      <c r="C6" s="73"/>
      <c r="D6" s="73"/>
      <c r="E6" s="73"/>
      <c r="F6" s="73"/>
      <c r="G6" s="73"/>
      <c r="H6" s="73"/>
      <c r="I6" s="73"/>
      <c r="J6" s="74"/>
      <c r="K6" s="73"/>
      <c r="L6" s="73"/>
      <c r="M6" s="73"/>
      <c r="N6" s="73"/>
      <c r="O6" s="74"/>
      <c r="P6" s="74"/>
      <c r="Q6" s="73"/>
      <c r="R6" s="73"/>
      <c r="S6" s="73"/>
      <c r="T6" s="73"/>
    </row>
    <row r="7" spans="1:20" s="64" customFormat="1" x14ac:dyDescent="0.25">
      <c r="O7" s="38"/>
      <c r="P7" s="38"/>
    </row>
    <row r="8" spans="1:20" s="64" customFormat="1" x14ac:dyDescent="0.25">
      <c r="O8" s="38"/>
      <c r="P8" s="38"/>
    </row>
    <row r="9" spans="1:20" x14ac:dyDescent="0.25">
      <c r="O9" s="38"/>
      <c r="P9" s="38"/>
    </row>
  </sheetData>
  <dataConsolidate link="1"/>
  <conditionalFormatting sqref="A6">
    <cfRule type="containsText" dxfId="460" priority="8" operator="containsText" text="ADD">
      <formula>NOT(ISERROR(SEARCH("ADD",A6)))</formula>
    </cfRule>
  </conditionalFormatting>
  <conditionalFormatting sqref="A6">
    <cfRule type="containsText" dxfId="459" priority="5" operator="containsText" text="DELETE">
      <formula>NOT(ISERROR(SEARCH("DELETE",A6)))</formula>
    </cfRule>
    <cfRule type="containsText" dxfId="458" priority="6" operator="containsText" text="MODIFY">
      <formula>NOT(ISERROR(SEARCH("MODIFY",A6)))</formula>
    </cfRule>
    <cfRule type="containsText" dxfId="457" priority="7" operator="containsText" text="No ACTION">
      <formula>NOT(ISERROR(SEARCH("No ACTION",A6)))</formula>
    </cfRule>
  </conditionalFormatting>
  <dataValidations count="18">
    <dataValidation type="list" allowBlank="1" showInputMessage="1" showErrorMessage="1" sqref="T6:T8">
      <formula1>"none, 9.6, 14.4, 19.2, 28.8, 38.4, 48, 56, 64"</formula1>
    </dataValidation>
    <dataValidation type="list" allowBlank="1" showInputMessage="1" showErrorMessage="1" sqref="S6:S8">
      <formula1>"none, v21, v22, v22Bis, v23, v26Ter, v32, undefined, autobaudingType1"</formula1>
    </dataValidation>
    <dataValidation type="list" allowBlank="1" showInputMessage="1" showErrorMessage="1" sqref="R6:R8">
      <formula1>"transparent, nonTransparent, bothTransparentPreffered, bothNonTransparentPreffered"</formula1>
    </dataValidation>
    <dataValidation type="list" allowBlank="1" showInputMessage="1" showErrorMessage="1" sqref="Q6:Q8">
      <formula1>"odd, even, none, forcedTo0, forcedTo1"</formula1>
    </dataValidation>
    <dataValidation type="list" allowBlank="1" showInputMessage="1" showErrorMessage="1" sqref="N6:N8">
      <formula1>"4, 8, 16"</formula1>
    </dataValidation>
    <dataValidation type="list" allowBlank="1" showInputMessage="1" showErrorMessage="1" sqref="M6:M8">
      <formula1>"0.3, 1.2, 2.4, 4.8, 9.6, 12, 1.2/75bit/s"</formula1>
    </dataValidation>
    <dataValidation type="list" allowBlank="1" showInputMessage="1" showErrorMessage="1" sqref="L6:L8">
      <formula1>"1, 2"</formula1>
    </dataValidation>
    <dataValidation type="list" allowBlank="1" showInputMessage="1" showErrorMessage="1" sqref="K6:K8">
      <formula1>"7, 8"</formula1>
    </dataValidation>
    <dataValidation type="list" allowBlank="1" showInputMessage="1" showErrorMessage="1" sqref="H6:H8">
      <formula1>"i440, x21, x28DedicatedPadIndividual, x28DedicatedPadUniversal, x28NonDedicatedPad, x32"</formula1>
    </dataValidation>
    <dataValidation type="list" allowBlank="1" showInputMessage="1" showErrorMessage="1" sqref="G6:G8">
      <formula1>"no, v100X30, x31FlagStuffing, h223H245"</formula1>
    </dataValidation>
    <dataValidation type="list" allowBlank="1" showInputMessage="1" showErrorMessage="1" sqref="F6:F8">
      <formula1>"sduIntegrity, unstructured"</formula1>
    </dataValidation>
    <dataValidation type="list" allowBlank="1" showInputMessage="1" showErrorMessage="1" sqref="E6:E8">
      <formula1>"speech, audio, unrestrictedDigital, fax3, alternateSpeechFax3"</formula1>
    </dataValidation>
    <dataValidation type="list" allowBlank="1" showInputMessage="1" showErrorMessage="1" sqref="D6:D8">
      <formula1>"circuitMode, packetMode"</formula1>
    </dataValidation>
    <dataValidation type="list" allowBlank="1" showInputMessage="1" showErrorMessage="1" sqref="C6:C8">
      <formula1>"halfRate, fullRate, dualHalfRate, dualFullRate"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I6:I8">
      <formula1>"x25,ia5,x75,vtx1,fax3,vtx3"</formula1>
    </dataValidation>
    <dataValidation type="textLength" allowBlank="1" showInputMessage="1" showErrorMessage="1" errorTitle="error on Aceptable Values" error="String:_x000a_1..10 characters" promptTitle="Aceptable Values" prompt="String:_x000a_1..10 characters" sqref="B6:B8">
      <formula1>1</formula1>
      <formula2>10</formula2>
    </dataValidation>
    <dataValidation type="list" allowBlank="1" showInputMessage="1" showErrorMessage="1" sqref="O6:P8 J6:J8">
      <formula1>"true, false"</formula1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N8"/>
  <sheetViews>
    <sheetView workbookViewId="0">
      <selection activeCell="L8" sqref="L8"/>
    </sheetView>
  </sheetViews>
  <sheetFormatPr defaultColWidth="33.140625" defaultRowHeight="15" x14ac:dyDescent="0.25"/>
  <cols>
    <col min="1" max="1" width="13.5703125" style="20" bestFit="1" customWidth="1"/>
    <col min="2" max="2" width="11.5703125" style="20" bestFit="1" customWidth="1"/>
    <col min="3" max="3" width="13.7109375" style="20" bestFit="1" customWidth="1"/>
    <col min="4" max="4" width="31.5703125" style="20" bestFit="1" customWidth="1"/>
    <col min="5" max="5" width="31" style="20" bestFit="1" customWidth="1"/>
    <col min="6" max="6" width="18" style="20" bestFit="1" customWidth="1"/>
    <col min="7" max="7" width="30.42578125" style="20" bestFit="1" customWidth="1"/>
    <col min="8" max="8" width="18.140625" style="20" customWidth="1"/>
    <col min="9" max="9" width="16.5703125" style="20" bestFit="1" customWidth="1"/>
    <col min="10" max="10" width="21.85546875" style="20" bestFit="1" customWidth="1"/>
    <col min="11" max="11" width="9.140625" style="20" bestFit="1" customWidth="1"/>
    <col min="12" max="12" width="14.85546875" style="20" bestFit="1" customWidth="1"/>
    <col min="13" max="13" width="15.5703125" style="20" bestFit="1" customWidth="1"/>
    <col min="14" max="14" width="10" style="20" bestFit="1" customWidth="1"/>
    <col min="15" max="16384" width="33.140625" style="20"/>
  </cols>
  <sheetData>
    <row r="1" spans="1:14" ht="18.75" x14ac:dyDescent="0.25">
      <c r="A1" s="19" t="s">
        <v>9</v>
      </c>
    </row>
    <row r="2" spans="1:14" x14ac:dyDescent="0.25">
      <c r="B2" s="21" t="s">
        <v>104</v>
      </c>
      <c r="C2" s="32" t="s">
        <v>98</v>
      </c>
      <c r="M2" s="47"/>
      <c r="N2" s="47"/>
    </row>
    <row r="3" spans="1:14" ht="25.5" x14ac:dyDescent="0.25">
      <c r="A3" s="21" t="s">
        <v>105</v>
      </c>
      <c r="B3" s="29" t="s">
        <v>147</v>
      </c>
      <c r="C3" s="29" t="s">
        <v>148</v>
      </c>
      <c r="D3" s="29" t="s">
        <v>149</v>
      </c>
      <c r="E3" s="29" t="s">
        <v>151</v>
      </c>
      <c r="F3" s="29" t="s">
        <v>152</v>
      </c>
      <c r="G3" s="29" t="s">
        <v>153</v>
      </c>
      <c r="H3" s="29" t="s">
        <v>154</v>
      </c>
      <c r="I3" s="29" t="s">
        <v>742</v>
      </c>
      <c r="J3" s="29" t="s">
        <v>263</v>
      </c>
      <c r="K3" s="29" t="s">
        <v>264</v>
      </c>
      <c r="L3" s="29" t="s">
        <v>181</v>
      </c>
      <c r="M3" s="48" t="s">
        <v>753</v>
      </c>
      <c r="N3" s="48" t="s">
        <v>755</v>
      </c>
    </row>
    <row r="4" spans="1:14" ht="25.5" x14ac:dyDescent="0.25">
      <c r="A4" s="21" t="s">
        <v>125</v>
      </c>
      <c r="B4" s="30" t="s">
        <v>126</v>
      </c>
      <c r="C4" s="30" t="s">
        <v>170</v>
      </c>
      <c r="D4" s="30" t="s">
        <v>460</v>
      </c>
      <c r="E4" s="30" t="s">
        <v>265</v>
      </c>
      <c r="F4" s="30" t="s">
        <v>176</v>
      </c>
      <c r="G4" s="30" t="s">
        <v>266</v>
      </c>
      <c r="H4" s="30" t="s">
        <v>146</v>
      </c>
      <c r="I4" s="30" t="s">
        <v>743</v>
      </c>
      <c r="J4" s="30" t="s">
        <v>183</v>
      </c>
      <c r="K4" s="30" t="s">
        <v>184</v>
      </c>
      <c r="L4" s="30" t="s">
        <v>185</v>
      </c>
      <c r="M4" s="34" t="s">
        <v>464</v>
      </c>
      <c r="N4" s="34" t="s">
        <v>754</v>
      </c>
    </row>
    <row r="5" spans="1:14" ht="114.75" x14ac:dyDescent="0.25">
      <c r="A5" s="28" t="s">
        <v>150</v>
      </c>
      <c r="B5" s="27" t="s">
        <v>171</v>
      </c>
      <c r="C5" s="31" t="s">
        <v>467</v>
      </c>
      <c r="D5" s="31" t="s">
        <v>466</v>
      </c>
      <c r="E5" s="31" t="s">
        <v>155</v>
      </c>
      <c r="F5" s="31" t="s">
        <v>751</v>
      </c>
      <c r="G5" s="31" t="s">
        <v>465</v>
      </c>
      <c r="H5" s="31" t="s">
        <v>495</v>
      </c>
      <c r="I5" s="31">
        <v>3</v>
      </c>
      <c r="J5" s="31" t="s">
        <v>1005</v>
      </c>
      <c r="K5" s="68" t="s">
        <v>1006</v>
      </c>
      <c r="L5" s="31" t="s">
        <v>740</v>
      </c>
      <c r="M5" s="49"/>
      <c r="N5" s="49" t="s">
        <v>756</v>
      </c>
    </row>
    <row r="6" spans="1:14" s="23" customFormat="1" ht="11.25" hidden="1" x14ac:dyDescent="0.2">
      <c r="A6" s="75" t="s">
        <v>1001</v>
      </c>
      <c r="B6" s="80"/>
      <c r="C6" s="81"/>
      <c r="D6" s="81"/>
      <c r="E6" s="81"/>
      <c r="F6" s="81"/>
      <c r="G6" s="81"/>
      <c r="H6" s="77"/>
      <c r="I6" s="77"/>
      <c r="J6" s="81"/>
      <c r="K6" s="81"/>
      <c r="L6" s="81"/>
      <c r="M6" s="81"/>
      <c r="N6" s="81"/>
    </row>
    <row r="7" spans="1:14" s="23" customFormat="1" ht="11.25" x14ac:dyDescent="0.2">
      <c r="A7" s="22" t="s">
        <v>145</v>
      </c>
      <c r="B7" s="79">
        <v>324234</v>
      </c>
      <c r="C7" s="88" t="s">
        <v>550</v>
      </c>
      <c r="D7" s="25"/>
      <c r="E7" s="88" t="s">
        <v>272</v>
      </c>
      <c r="F7" s="88">
        <v>3</v>
      </c>
      <c r="G7" s="88" t="s">
        <v>271</v>
      </c>
      <c r="H7" s="37"/>
      <c r="I7" s="88" t="s">
        <v>752</v>
      </c>
      <c r="J7" s="88">
        <v>12345</v>
      </c>
      <c r="K7" s="88">
        <v>44</v>
      </c>
      <c r="L7" s="88" t="s">
        <v>500</v>
      </c>
      <c r="M7" s="50">
        <v>333</v>
      </c>
      <c r="N7" s="50" t="s">
        <v>757</v>
      </c>
    </row>
    <row r="8" spans="1:14" s="23" customFormat="1" ht="11.25" x14ac:dyDescent="0.2">
      <c r="A8" s="22" t="s">
        <v>145</v>
      </c>
      <c r="B8" s="79">
        <v>789789789</v>
      </c>
      <c r="C8" s="88" t="s">
        <v>550</v>
      </c>
      <c r="D8" s="88" t="s">
        <v>164</v>
      </c>
      <c r="E8" s="25"/>
      <c r="F8" s="88">
        <v>3</v>
      </c>
      <c r="G8" s="25"/>
      <c r="H8" s="88" t="s">
        <v>500</v>
      </c>
      <c r="I8" s="88" t="s">
        <v>752</v>
      </c>
      <c r="J8" s="88">
        <v>23456</v>
      </c>
      <c r="K8" s="88">
        <v>44</v>
      </c>
      <c r="L8" s="88" t="s">
        <v>501</v>
      </c>
      <c r="M8" s="50">
        <v>4444</v>
      </c>
      <c r="N8" s="50" t="s">
        <v>757</v>
      </c>
    </row>
  </sheetData>
  <conditionalFormatting sqref="A8">
    <cfRule type="containsText" dxfId="456" priority="19" operator="containsText" text="ADD">
      <formula>NOT(ISERROR(SEARCH("ADD",A8)))</formula>
    </cfRule>
  </conditionalFormatting>
  <conditionalFormatting sqref="A8">
    <cfRule type="containsText" dxfId="455" priority="16" operator="containsText" text="DELETE">
      <formula>NOT(ISERROR(SEARCH("DELETE",A8)))</formula>
    </cfRule>
    <cfRule type="containsText" dxfId="454" priority="17" operator="containsText" text="MODIFY">
      <formula>NOT(ISERROR(SEARCH("MODIFY",A8)))</formula>
    </cfRule>
    <cfRule type="containsText" dxfId="453" priority="18" operator="containsText" text="No ACTION">
      <formula>NOT(ISERROR(SEARCH("No ACTION",A8)))</formula>
    </cfRule>
  </conditionalFormatting>
  <conditionalFormatting sqref="A6:A7">
    <cfRule type="containsText" dxfId="452" priority="15" operator="containsText" text="ADD">
      <formula>NOT(ISERROR(SEARCH("ADD",A6)))</formula>
    </cfRule>
  </conditionalFormatting>
  <conditionalFormatting sqref="A6:A7">
    <cfRule type="containsText" dxfId="451" priority="12" operator="containsText" text="DELETE">
      <formula>NOT(ISERROR(SEARCH("DELETE",A6)))</formula>
    </cfRule>
    <cfRule type="containsText" dxfId="450" priority="13" operator="containsText" text="MODIFY">
      <formula>NOT(ISERROR(SEARCH("MODIFY",A6)))</formula>
    </cfRule>
    <cfRule type="containsText" dxfId="449" priority="14" operator="containsText" text="No ACTION">
      <formula>NOT(ISERROR(SEARCH("No ACTION",A6)))</formula>
    </cfRule>
  </conditionalFormatting>
  <conditionalFormatting sqref="J6:J7">
    <cfRule type="expression" dxfId="448" priority="11">
      <formula>I6=""</formula>
    </cfRule>
  </conditionalFormatting>
  <conditionalFormatting sqref="J8">
    <cfRule type="expression" dxfId="447" priority="10">
      <formula>I8=""</formula>
    </cfRule>
  </conditionalFormatting>
  <conditionalFormatting sqref="L6:L7">
    <cfRule type="expression" dxfId="446" priority="5">
      <formula>I6=""</formula>
    </cfRule>
  </conditionalFormatting>
  <conditionalFormatting sqref="L8">
    <cfRule type="expression" dxfId="445" priority="4">
      <formula>I8=""</formula>
    </cfRule>
  </conditionalFormatting>
  <conditionalFormatting sqref="M6:N7">
    <cfRule type="expression" dxfId="444" priority="2">
      <formula>K6=""</formula>
    </cfRule>
  </conditionalFormatting>
  <conditionalFormatting sqref="M8:N8">
    <cfRule type="expression" dxfId="443" priority="1">
      <formula>K8=""</formula>
    </cfRule>
  </conditionalFormatting>
  <dataValidations count="11">
    <dataValidation type="list" showInputMessage="1" showErrorMessage="1" sqref="A6:A8">
      <formula1>"ADD,MODIFY,DELETE,NO ACTION"</formula1>
    </dataValidation>
    <dataValidation type="list" allowBlank="1" showInputMessage="1" showErrorMessage="1" sqref="E6:E8">
      <formula1>"roamingRestrictions,noReplacement,barringOfOutgoingCalls"</formula1>
    </dataValidation>
    <dataValidation type="list" allowBlank="1" showInputMessage="1" showErrorMessage="1" sqref="F6:F8">
      <formula1>"3,4,3,4"</formula1>
    </dataValidation>
    <dataValidation type="list" allowBlank="1" showInputMessage="1" showErrorMessage="1" sqref="G6:G8">
      <formula1>"replaceByBAIC,noReplacement,noOptimalRouting"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I6:I8">
      <formula1>"3"</formula1>
    </dataValidation>
    <dataValidation type="list" allowBlank="1" showInputMessage="1" showErrorMessage="1" sqref="H6:H8 L6:L8">
      <formula1>"true, false"</formula1>
    </dataValidation>
    <dataValidation type="list" allowBlank="1" showInputMessage="1" showErrorMessage="1" sqref="N6:N8">
      <formula1>"international,unknown"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 Length Range: 1..15" sqref="J6:J8">
      <formula1>0</formula1>
      <formula2>15</formula2>
    </dataValidation>
    <dataValidation type="whole" allowBlank="1" showInputMessage="1" showErrorMessage="1" error="Value range:0..2147483647" sqref="K6:K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refValues!$A$2:$A$14</xm:f>
          </x14:formula1>
          <xm:sqref>D6:D8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K8"/>
  <sheetViews>
    <sheetView workbookViewId="0">
      <selection activeCell="E15" sqref="E15"/>
    </sheetView>
  </sheetViews>
  <sheetFormatPr defaultColWidth="33.140625" defaultRowHeight="15" x14ac:dyDescent="0.25"/>
  <cols>
    <col min="1" max="1" width="13.5703125" style="20" customWidth="1"/>
    <col min="2" max="2" width="10.5703125" style="20" bestFit="1" customWidth="1"/>
    <col min="3" max="3" width="13.7109375" style="20" customWidth="1"/>
    <col min="4" max="4" width="23.28515625" style="20" bestFit="1" customWidth="1"/>
    <col min="5" max="5" width="22.5703125" style="20" bestFit="1" customWidth="1"/>
    <col min="6" max="6" width="17.85546875" style="20" bestFit="1" customWidth="1"/>
    <col min="7" max="7" width="24.85546875" style="20" bestFit="1" customWidth="1"/>
    <col min="8" max="8" width="20.7109375" style="20" bestFit="1" customWidth="1"/>
    <col min="9" max="9" width="21.85546875" style="20" bestFit="1" customWidth="1"/>
    <col min="10" max="10" width="9.140625" style="20" customWidth="1"/>
    <col min="11" max="11" width="11.140625" style="20" customWidth="1"/>
    <col min="12" max="16384" width="33.140625" style="20"/>
  </cols>
  <sheetData>
    <row r="1" spans="1:11" ht="18.75" x14ac:dyDescent="0.25">
      <c r="A1" s="19" t="s">
        <v>9</v>
      </c>
    </row>
    <row r="2" spans="1:11" ht="25.5" x14ac:dyDescent="0.25">
      <c r="B2" s="21" t="s">
        <v>104</v>
      </c>
      <c r="C2" s="32" t="s">
        <v>172</v>
      </c>
    </row>
    <row r="3" spans="1:11" ht="24.6" customHeight="1" x14ac:dyDescent="0.25">
      <c r="A3" s="21" t="s">
        <v>105</v>
      </c>
      <c r="B3" s="29" t="s">
        <v>173</v>
      </c>
      <c r="C3" s="29" t="s">
        <v>148</v>
      </c>
      <c r="D3" s="29" t="s">
        <v>174</v>
      </c>
      <c r="E3" s="48" t="s">
        <v>149</v>
      </c>
      <c r="F3" s="29" t="s">
        <v>175</v>
      </c>
      <c r="G3" s="29" t="s">
        <v>458</v>
      </c>
      <c r="H3" s="29" t="s">
        <v>177</v>
      </c>
      <c r="I3" s="29" t="s">
        <v>183</v>
      </c>
      <c r="J3" s="29" t="s">
        <v>178</v>
      </c>
      <c r="K3" s="29" t="s">
        <v>185</v>
      </c>
    </row>
    <row r="4" spans="1:11" ht="25.5" x14ac:dyDescent="0.25">
      <c r="A4" s="21" t="s">
        <v>125</v>
      </c>
      <c r="B4" s="30" t="s">
        <v>126</v>
      </c>
      <c r="C4" s="30" t="s">
        <v>170</v>
      </c>
      <c r="D4" s="30" t="s">
        <v>459</v>
      </c>
      <c r="E4" s="34" t="s">
        <v>460</v>
      </c>
      <c r="F4" s="30" t="s">
        <v>176</v>
      </c>
      <c r="G4" s="30" t="s">
        <v>469</v>
      </c>
      <c r="H4" s="30" t="s">
        <v>182</v>
      </c>
      <c r="I4" s="30" t="s">
        <v>183</v>
      </c>
      <c r="J4" s="30" t="s">
        <v>184</v>
      </c>
      <c r="K4" s="30" t="s">
        <v>185</v>
      </c>
    </row>
    <row r="5" spans="1:11" ht="114.75" x14ac:dyDescent="0.25">
      <c r="A5" s="28" t="s">
        <v>150</v>
      </c>
      <c r="B5" s="27" t="s">
        <v>171</v>
      </c>
      <c r="C5" s="31" t="s">
        <v>467</v>
      </c>
      <c r="D5" s="31" t="s">
        <v>468</v>
      </c>
      <c r="E5" s="49" t="s">
        <v>472</v>
      </c>
      <c r="F5" s="31">
        <v>3</v>
      </c>
      <c r="G5" s="31" t="s">
        <v>470</v>
      </c>
      <c r="H5" s="31" t="s">
        <v>471</v>
      </c>
      <c r="I5" s="31" t="s">
        <v>1005</v>
      </c>
      <c r="J5" s="31" t="s">
        <v>1006</v>
      </c>
      <c r="K5" s="68" t="s">
        <v>1020</v>
      </c>
    </row>
    <row r="6" spans="1:11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  <c r="I6" s="81"/>
      <c r="J6" s="81"/>
      <c r="K6" s="77"/>
    </row>
    <row r="7" spans="1:11" s="23" customFormat="1" ht="11.25" x14ac:dyDescent="0.2">
      <c r="A7" s="22" t="s">
        <v>145</v>
      </c>
      <c r="B7" s="79">
        <v>324234</v>
      </c>
      <c r="C7" s="25"/>
      <c r="D7" s="25"/>
      <c r="E7" s="50"/>
      <c r="F7" s="25"/>
      <c r="G7" s="25"/>
      <c r="H7" s="88">
        <v>14</v>
      </c>
      <c r="I7" s="88">
        <v>12345</v>
      </c>
      <c r="J7" s="88">
        <v>44</v>
      </c>
      <c r="K7" s="88" t="s">
        <v>501</v>
      </c>
    </row>
    <row r="8" spans="1:11" s="23" customFormat="1" ht="11.25" x14ac:dyDescent="0.2">
      <c r="A8" s="22" t="s">
        <v>145</v>
      </c>
      <c r="B8" s="79">
        <v>789789789</v>
      </c>
      <c r="C8" s="88" t="s">
        <v>273</v>
      </c>
      <c r="D8" s="88" t="s">
        <v>938</v>
      </c>
      <c r="E8" s="50"/>
      <c r="F8" s="88">
        <v>3</v>
      </c>
      <c r="G8" s="88" t="s">
        <v>939</v>
      </c>
      <c r="H8" s="88">
        <v>11</v>
      </c>
      <c r="I8" s="88">
        <v>23456</v>
      </c>
      <c r="J8" s="88">
        <v>44</v>
      </c>
      <c r="K8" s="88" t="s">
        <v>500</v>
      </c>
    </row>
  </sheetData>
  <conditionalFormatting sqref="A8">
    <cfRule type="containsText" dxfId="442" priority="12" operator="containsText" text="ADD">
      <formula>NOT(ISERROR(SEARCH("ADD",A8)))</formula>
    </cfRule>
  </conditionalFormatting>
  <conditionalFormatting sqref="A8">
    <cfRule type="containsText" dxfId="441" priority="9" operator="containsText" text="DELETE">
      <formula>NOT(ISERROR(SEARCH("DELETE",A8)))</formula>
    </cfRule>
    <cfRule type="containsText" dxfId="440" priority="10" operator="containsText" text="MODIFY">
      <formula>NOT(ISERROR(SEARCH("MODIFY",A8)))</formula>
    </cfRule>
    <cfRule type="containsText" dxfId="439" priority="11" operator="containsText" text="No ACTION">
      <formula>NOT(ISERROR(SEARCH("No ACTION",A8)))</formula>
    </cfRule>
  </conditionalFormatting>
  <conditionalFormatting sqref="A6:A7">
    <cfRule type="containsText" dxfId="438" priority="8" operator="containsText" text="ADD">
      <formula>NOT(ISERROR(SEARCH("ADD",A6)))</formula>
    </cfRule>
  </conditionalFormatting>
  <conditionalFormatting sqref="A6:A7">
    <cfRule type="containsText" dxfId="437" priority="5" operator="containsText" text="DELETE">
      <formula>NOT(ISERROR(SEARCH("DELETE",A6)))</formula>
    </cfRule>
    <cfRule type="containsText" dxfId="436" priority="6" operator="containsText" text="MODIFY">
      <formula>NOT(ISERROR(SEARCH("MODIFY",A6)))</formula>
    </cfRule>
    <cfRule type="containsText" dxfId="435" priority="7" operator="containsText" text="No ACTION">
      <formula>NOT(ISERROR(SEARCH("No ACTION",A6)))</formula>
    </cfRule>
  </conditionalFormatting>
  <conditionalFormatting sqref="I6:I7">
    <cfRule type="expression" dxfId="434" priority="2">
      <formula>H6=""</formula>
    </cfRule>
  </conditionalFormatting>
  <conditionalFormatting sqref="I8">
    <cfRule type="expression" dxfId="433" priority="1">
      <formula>H8=""</formula>
    </cfRule>
  </conditionalFormatting>
  <dataValidations count="10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"noReplacement,packetDataProtocolNotAllowed,restrictedAccessPointOnly"</formula1>
    </dataValidation>
    <dataValidation type="list" allowBlank="1" showInputMessage="1" showErrorMessage="1" sqref="F6:F8">
      <formula1>"3"</formula1>
    </dataValidation>
    <dataValidation type="list" allowBlank="1" showInputMessage="1" showErrorMessage="1" sqref="H6:H8">
      <formula1>"1,2,11,12,14"</formula1>
    </dataValidation>
    <dataValidation type="list" allowBlank="1" showInputMessage="1" showErrorMessage="1" sqref="K6:K8">
      <formula1>"true,false"</formula1>
    </dataValidation>
    <dataValidation type="textLength" allowBlank="1" showInputMessage="1" showErrorMessage="1" error=" Length Range: 1..15" sqref="I6:I8">
      <formula1>0</formula1>
      <formula2>15</formula2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Range: 1..62" sqref="G6:G8">
      <formula1>0</formula1>
      <formula2>62</formula2>
    </dataValidation>
    <dataValidation type="whole" allowBlank="1" showInputMessage="1" showErrorMessage="1" error="Value range:0..2147483647" sqref="J6:J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E6:E8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P9"/>
  <sheetViews>
    <sheetView workbookViewId="0">
      <selection activeCell="E9" sqref="E9"/>
    </sheetView>
  </sheetViews>
  <sheetFormatPr defaultColWidth="23.85546875" defaultRowHeight="15" x14ac:dyDescent="0.25"/>
  <cols>
    <col min="1" max="1" width="13.5703125" style="20" bestFit="1" customWidth="1"/>
    <col min="2" max="2" width="10.5703125" style="20" bestFit="1" customWidth="1"/>
    <col min="3" max="3" width="36.5703125" style="20" customWidth="1"/>
    <col min="4" max="4" width="28.140625" style="20" customWidth="1"/>
    <col min="5" max="5" width="27.42578125" style="20" customWidth="1"/>
    <col min="6" max="6" width="24.85546875" style="20" customWidth="1"/>
    <col min="7" max="7" width="23.85546875" style="20"/>
    <col min="8" max="8" width="28.5703125" style="20" bestFit="1" customWidth="1"/>
    <col min="9" max="11" width="23.85546875" style="20"/>
    <col min="12" max="12" width="16.5703125" style="20" bestFit="1" customWidth="1"/>
    <col min="13" max="14" width="31.5703125" style="20" bestFit="1" customWidth="1"/>
    <col min="15" max="15" width="20.140625" style="20" bestFit="1" customWidth="1"/>
    <col min="16" max="16" width="19.42578125" style="20" bestFit="1" customWidth="1"/>
    <col min="17" max="16384" width="23.85546875" style="20"/>
  </cols>
  <sheetData>
    <row r="1" spans="1:16" ht="18.75" x14ac:dyDescent="0.25">
      <c r="A1" s="19" t="s">
        <v>9</v>
      </c>
    </row>
    <row r="2" spans="1:16" ht="30" x14ac:dyDescent="0.25">
      <c r="B2" s="21" t="s">
        <v>104</v>
      </c>
      <c r="C2" s="32" t="s">
        <v>434</v>
      </c>
      <c r="L2" s="20" t="s">
        <v>435</v>
      </c>
      <c r="M2" s="20" t="s">
        <v>436</v>
      </c>
      <c r="N2" s="20" t="s">
        <v>437</v>
      </c>
      <c r="O2" s="20" t="s">
        <v>438</v>
      </c>
      <c r="P2" s="20" t="s">
        <v>439</v>
      </c>
    </row>
    <row r="3" spans="1:16" ht="30" x14ac:dyDescent="0.25">
      <c r="A3" s="21" t="s">
        <v>105</v>
      </c>
      <c r="B3" s="29" t="s">
        <v>189</v>
      </c>
      <c r="C3" s="29" t="s">
        <v>353</v>
      </c>
      <c r="D3" s="29" t="s">
        <v>440</v>
      </c>
      <c r="E3" s="29" t="s">
        <v>441</v>
      </c>
      <c r="F3" s="29" t="s">
        <v>432</v>
      </c>
      <c r="G3" s="29" t="s">
        <v>942</v>
      </c>
      <c r="H3" s="29" t="s">
        <v>943</v>
      </c>
      <c r="I3" s="29" t="s">
        <v>944</v>
      </c>
      <c r="L3" s="20" t="s">
        <v>442</v>
      </c>
      <c r="M3" s="20" t="s">
        <v>443</v>
      </c>
      <c r="N3" s="20" t="s">
        <v>443</v>
      </c>
      <c r="O3" s="20" t="s">
        <v>444</v>
      </c>
      <c r="P3" s="20" t="s">
        <v>445</v>
      </c>
    </row>
    <row r="4" spans="1:16" ht="30" x14ac:dyDescent="0.25">
      <c r="A4" s="21" t="s">
        <v>125</v>
      </c>
      <c r="B4" s="30" t="s">
        <v>126</v>
      </c>
      <c r="C4" s="30" t="s">
        <v>439</v>
      </c>
      <c r="D4" s="30" t="s">
        <v>437</v>
      </c>
      <c r="E4" s="30" t="s">
        <v>438</v>
      </c>
      <c r="F4" s="30" t="s">
        <v>450</v>
      </c>
      <c r="G4" s="30" t="s">
        <v>940</v>
      </c>
      <c r="H4" s="30" t="s">
        <v>941</v>
      </c>
      <c r="I4" s="30" t="s">
        <v>435</v>
      </c>
      <c r="L4" s="20" t="s">
        <v>446</v>
      </c>
      <c r="M4" s="20" t="s">
        <v>447</v>
      </c>
      <c r="N4" s="20" t="s">
        <v>447</v>
      </c>
      <c r="O4" s="20" t="s">
        <v>448</v>
      </c>
      <c r="P4" s="20" t="s">
        <v>449</v>
      </c>
    </row>
    <row r="5" spans="1:16" ht="89.25" x14ac:dyDescent="0.25">
      <c r="A5" s="28" t="s">
        <v>150</v>
      </c>
      <c r="B5" s="27" t="s">
        <v>476</v>
      </c>
      <c r="C5" s="31" t="s">
        <v>475</v>
      </c>
      <c r="D5" s="31" t="s">
        <v>473</v>
      </c>
      <c r="E5" s="31" t="s">
        <v>474</v>
      </c>
      <c r="F5" s="31" t="s">
        <v>1005</v>
      </c>
      <c r="G5" s="31" t="s">
        <v>937</v>
      </c>
      <c r="H5" s="31" t="s">
        <v>946</v>
      </c>
      <c r="I5" s="31" t="s">
        <v>945</v>
      </c>
      <c r="L5" s="20" t="s">
        <v>451</v>
      </c>
      <c r="M5" s="20" t="s">
        <v>452</v>
      </c>
      <c r="N5" s="20" t="s">
        <v>452</v>
      </c>
      <c r="O5" s="20" t="s">
        <v>453</v>
      </c>
      <c r="P5" s="20" t="s">
        <v>367</v>
      </c>
    </row>
    <row r="6" spans="1:16" s="23" customFormat="1" ht="22.5" hidden="1" x14ac:dyDescent="0.2">
      <c r="A6" s="22" t="s">
        <v>1001</v>
      </c>
      <c r="B6" s="76"/>
      <c r="C6" s="81"/>
      <c r="D6" s="81"/>
      <c r="E6" s="81"/>
      <c r="F6" s="81"/>
      <c r="G6" s="81"/>
      <c r="H6" s="81"/>
      <c r="I6" s="81"/>
      <c r="M6" s="23" t="s">
        <v>454</v>
      </c>
      <c r="N6" s="23" t="s">
        <v>454</v>
      </c>
      <c r="O6" s="23" t="s">
        <v>455</v>
      </c>
    </row>
    <row r="7" spans="1:16" s="23" customFormat="1" ht="11.25" x14ac:dyDescent="0.2">
      <c r="A7" s="22" t="s">
        <v>145</v>
      </c>
      <c r="B7" s="79">
        <v>556666</v>
      </c>
      <c r="C7" s="88" t="s">
        <v>445</v>
      </c>
      <c r="D7" s="88" t="s">
        <v>443</v>
      </c>
      <c r="E7" s="25"/>
      <c r="F7" s="25"/>
      <c r="G7" s="25"/>
      <c r="H7" s="25"/>
      <c r="I7" s="25"/>
      <c r="N7" s="23" t="s">
        <v>456</v>
      </c>
      <c r="O7" s="23" t="s">
        <v>457</v>
      </c>
    </row>
    <row r="8" spans="1:16" s="23" customFormat="1" ht="11.25" x14ac:dyDescent="0.2">
      <c r="A8" s="22" t="s">
        <v>145</v>
      </c>
      <c r="B8" s="79">
        <v>77778888</v>
      </c>
      <c r="C8" s="88" t="s">
        <v>367</v>
      </c>
      <c r="D8" s="25"/>
      <c r="E8" s="88" t="s">
        <v>453</v>
      </c>
      <c r="F8" s="25"/>
      <c r="G8" s="25"/>
      <c r="H8" s="25"/>
      <c r="I8" s="25"/>
    </row>
    <row r="9" spans="1:16" s="23" customFormat="1" ht="11.25" x14ac:dyDescent="0.2">
      <c r="A9" s="22" t="s">
        <v>255</v>
      </c>
      <c r="B9" s="79">
        <v>77778888</v>
      </c>
      <c r="C9" s="88" t="s">
        <v>367</v>
      </c>
      <c r="D9" s="25"/>
      <c r="E9" s="88" t="s">
        <v>444</v>
      </c>
      <c r="F9" s="25"/>
      <c r="G9" s="25"/>
      <c r="H9" s="25"/>
      <c r="I9" s="25"/>
    </row>
  </sheetData>
  <conditionalFormatting sqref="A8">
    <cfRule type="containsText" dxfId="432" priority="33" operator="containsText" text="ADD">
      <formula>NOT(ISERROR(SEARCH("ADD",A8)))</formula>
    </cfRule>
  </conditionalFormatting>
  <conditionalFormatting sqref="A8">
    <cfRule type="containsText" dxfId="431" priority="30" operator="containsText" text="DELETE">
      <formula>NOT(ISERROR(SEARCH("DELETE",A8)))</formula>
    </cfRule>
    <cfRule type="containsText" dxfId="430" priority="31" operator="containsText" text="MODIFY">
      <formula>NOT(ISERROR(SEARCH("MODIFY",A8)))</formula>
    </cfRule>
    <cfRule type="containsText" dxfId="429" priority="32" operator="containsText" text="No ACTION">
      <formula>NOT(ISERROR(SEARCH("No ACTION",A8)))</formula>
    </cfRule>
  </conditionalFormatting>
  <conditionalFormatting sqref="A6:A7">
    <cfRule type="containsText" dxfId="428" priority="29" operator="containsText" text="ADD">
      <formula>NOT(ISERROR(SEARCH("ADD",A6)))</formula>
    </cfRule>
  </conditionalFormatting>
  <conditionalFormatting sqref="A6:A7">
    <cfRule type="containsText" dxfId="427" priority="26" operator="containsText" text="DELETE">
      <formula>NOT(ISERROR(SEARCH("DELETE",A6)))</formula>
    </cfRule>
    <cfRule type="containsText" dxfId="426" priority="27" operator="containsText" text="MODIFY">
      <formula>NOT(ISERROR(SEARCH("MODIFY",A6)))</formula>
    </cfRule>
    <cfRule type="containsText" dxfId="425" priority="28" operator="containsText" text="No ACTION">
      <formula>NOT(ISERROR(SEARCH("No ACTION",A6)))</formula>
    </cfRule>
  </conditionalFormatting>
  <conditionalFormatting sqref="E6:E8">
    <cfRule type="expression" dxfId="424" priority="21">
      <formula>C6&lt;&gt;"plmnOperator"</formula>
    </cfRule>
  </conditionalFormatting>
  <conditionalFormatting sqref="G6:G8">
    <cfRule type="expression" dxfId="423" priority="20">
      <formula>C6&lt;&gt;"callUnRelated"</formula>
    </cfRule>
  </conditionalFormatting>
  <conditionalFormatting sqref="F6:F8">
    <cfRule type="expression" dxfId="422" priority="19">
      <formula>C6&lt;&gt;"callUnRelated"</formula>
    </cfRule>
  </conditionalFormatting>
  <conditionalFormatting sqref="H6:H8">
    <cfRule type="expression" dxfId="421" priority="15" stopIfTrue="1">
      <formula>C6&lt;&gt;"callUnRelated"</formula>
    </cfRule>
    <cfRule type="expression" dxfId="420" priority="18" stopIfTrue="1">
      <formula>G6=""</formula>
    </cfRule>
  </conditionalFormatting>
  <conditionalFormatting sqref="D6:D8">
    <cfRule type="expression" dxfId="419" priority="16">
      <formula>C6="plmnOperator"</formula>
    </cfRule>
  </conditionalFormatting>
  <conditionalFormatting sqref="I6:I8">
    <cfRule type="expression" dxfId="418" priority="13">
      <formula>C6&lt;&gt;"callUnRelated"</formula>
    </cfRule>
    <cfRule type="expression" dxfId="417" priority="14">
      <formula>G6=""</formula>
    </cfRule>
  </conditionalFormatting>
  <conditionalFormatting sqref="A9">
    <cfRule type="containsText" dxfId="416" priority="12" operator="containsText" text="ADD">
      <formula>NOT(ISERROR(SEARCH("ADD",A9)))</formula>
    </cfRule>
  </conditionalFormatting>
  <conditionalFormatting sqref="A9">
    <cfRule type="containsText" dxfId="415" priority="9" operator="containsText" text="DELETE">
      <formula>NOT(ISERROR(SEARCH("DELETE",A9)))</formula>
    </cfRule>
    <cfRule type="containsText" dxfId="414" priority="10" operator="containsText" text="MODIFY">
      <formula>NOT(ISERROR(SEARCH("MODIFY",A9)))</formula>
    </cfRule>
    <cfRule type="containsText" dxfId="413" priority="11" operator="containsText" text="No ACTION">
      <formula>NOT(ISERROR(SEARCH("No ACTION",A9)))</formula>
    </cfRule>
  </conditionalFormatting>
  <conditionalFormatting sqref="E9">
    <cfRule type="expression" dxfId="412" priority="8">
      <formula>C9&lt;&gt;"plmnOperator"</formula>
    </cfRule>
  </conditionalFormatting>
  <conditionalFormatting sqref="G9">
    <cfRule type="expression" dxfId="411" priority="7">
      <formula>C9&lt;&gt;"callUnRelated"</formula>
    </cfRule>
  </conditionalFormatting>
  <conditionalFormatting sqref="F9">
    <cfRule type="expression" dxfId="410" priority="6">
      <formula>C9&lt;&gt;"callUnRelated"</formula>
    </cfRule>
  </conditionalFormatting>
  <conditionalFormatting sqref="H9">
    <cfRule type="expression" dxfId="409" priority="3" stopIfTrue="1">
      <formula>C9&lt;&gt;"callUnRelated"</formula>
    </cfRule>
    <cfRule type="expression" dxfId="408" priority="5" stopIfTrue="1">
      <formula>G9=""</formula>
    </cfRule>
  </conditionalFormatting>
  <conditionalFormatting sqref="D9">
    <cfRule type="expression" dxfId="407" priority="4">
      <formula>C9="plmnOperator"</formula>
    </cfRule>
  </conditionalFormatting>
  <conditionalFormatting sqref="I9">
    <cfRule type="expression" dxfId="406" priority="1">
      <formula>C9&lt;&gt;"callUnRelated"</formula>
    </cfRule>
    <cfRule type="expression" dxfId="405" priority="2">
      <formula>G9=""</formula>
    </cfRule>
  </conditionalFormatting>
  <dataValidations count="8">
    <dataValidation type="list" showInputMessage="1" showErrorMessage="1" sqref="A6:A9">
      <formula1>"ADD,MODIFY,DELETE,NO ACTION"</formula1>
    </dataValidation>
    <dataValidation type="list" allowBlank="1" showInputMessage="1" showErrorMessage="1" sqref="C6:C9">
      <formula1>$P$3:$P$5</formula1>
    </dataValidation>
    <dataValidation type="list" allowBlank="1" showInputMessage="1" showErrorMessage="1" sqref="E6:E9">
      <formula1>$O$3:$O$7</formula1>
    </dataValidation>
    <dataValidation type="list" allowBlank="1" showInputMessage="1" showErrorMessage="1" sqref="D6:D9">
      <formula1>$N$3:$N$7</formula1>
    </dataValidation>
    <dataValidation type="list" allowBlank="1" showInputMessage="1" showErrorMessage="1" sqref="I6:I9">
      <formula1>"identifiedGateway,gatewayInHplmn,anyGateway"</formula1>
    </dataValidation>
    <dataValidation type="list" allowBlank="1" showInputMessage="1" showErrorMessage="1" sqref="H6:H9">
      <formula1>"notifyLocation,notifyAndVerifyLocationNoResponse,notifyAndVerifyLocationWithResponse,locationAllowed"</formula1>
    </dataValidation>
    <dataValidation type="textLength" allowBlank="1" showInputMessage="1" showErrorMessage="1" error="String:_x000a_1..8 _x000a_characters" sqref="B6:B9">
      <formula1>0</formula1>
      <formula2>8</formula2>
    </dataValidation>
    <dataValidation type="textLength" allowBlank="1" showInputMessage="1" showErrorMessage="1" error="Length Range: 1..15" sqref="F6:G9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H8"/>
  <sheetViews>
    <sheetView workbookViewId="0">
      <selection activeCell="H8" sqref="H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13.7109375" style="20" bestFit="1" customWidth="1"/>
    <col min="4" max="4" width="16.42578125" style="20" bestFit="1" customWidth="1"/>
    <col min="5" max="5" width="27.5703125" style="20" bestFit="1" customWidth="1"/>
    <col min="6" max="6" width="28.140625" style="20" bestFit="1" customWidth="1"/>
    <col min="7" max="7" width="9.140625" style="20" bestFit="1" customWidth="1"/>
    <col min="8" max="8" width="34.28515625" style="20" customWidth="1"/>
    <col min="9" max="12" width="23.85546875" style="20"/>
    <col min="13" max="13" width="16.5703125" style="20" customWidth="1"/>
    <col min="14" max="15" width="31.5703125" style="20" customWidth="1"/>
    <col min="16" max="16" width="20.140625" style="20" customWidth="1"/>
    <col min="17" max="17" width="19.42578125" style="20" customWidth="1"/>
    <col min="18" max="16384" width="23.85546875" style="20"/>
  </cols>
  <sheetData>
    <row r="1" spans="1:8" ht="18.75" x14ac:dyDescent="0.25">
      <c r="A1" s="19" t="s">
        <v>9</v>
      </c>
    </row>
    <row r="2" spans="1:8" ht="25.5" x14ac:dyDescent="0.25">
      <c r="B2" s="21" t="s">
        <v>104</v>
      </c>
      <c r="C2" s="32" t="s">
        <v>461</v>
      </c>
    </row>
    <row r="3" spans="1:8" ht="25.5" x14ac:dyDescent="0.25">
      <c r="A3" s="21" t="s">
        <v>105</v>
      </c>
      <c r="B3" s="29" t="s">
        <v>173</v>
      </c>
      <c r="C3" s="29" t="s">
        <v>148</v>
      </c>
      <c r="D3" s="29" t="s">
        <v>174</v>
      </c>
      <c r="E3" s="29" t="s">
        <v>149</v>
      </c>
      <c r="F3" s="29" t="s">
        <v>275</v>
      </c>
      <c r="G3" s="29" t="s">
        <v>178</v>
      </c>
      <c r="H3" s="29" t="s">
        <v>462</v>
      </c>
    </row>
    <row r="4" spans="1:8" ht="25.5" x14ac:dyDescent="0.25">
      <c r="A4" s="21" t="s">
        <v>125</v>
      </c>
      <c r="B4" s="30" t="s">
        <v>126</v>
      </c>
      <c r="C4" s="30" t="s">
        <v>170</v>
      </c>
      <c r="D4" s="30" t="s">
        <v>459</v>
      </c>
      <c r="E4" s="30" t="s">
        <v>460</v>
      </c>
      <c r="F4" s="30" t="s">
        <v>293</v>
      </c>
      <c r="G4" s="30" t="s">
        <v>184</v>
      </c>
      <c r="H4" s="30" t="s">
        <v>463</v>
      </c>
    </row>
    <row r="5" spans="1:8" ht="76.5" x14ac:dyDescent="0.25">
      <c r="A5" s="28" t="s">
        <v>150</v>
      </c>
      <c r="B5" s="27" t="s">
        <v>476</v>
      </c>
      <c r="C5" s="31" t="s">
        <v>467</v>
      </c>
      <c r="D5" s="31" t="s">
        <v>477</v>
      </c>
      <c r="E5" s="31" t="s">
        <v>472</v>
      </c>
      <c r="F5" s="62" t="s">
        <v>1005</v>
      </c>
      <c r="G5" s="68" t="s">
        <v>1006</v>
      </c>
      <c r="H5" s="31" t="s">
        <v>478</v>
      </c>
    </row>
    <row r="6" spans="1:8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</row>
    <row r="7" spans="1:8" s="23" customFormat="1" ht="11.25" x14ac:dyDescent="0.2">
      <c r="A7" s="22" t="s">
        <v>145</v>
      </c>
      <c r="B7" s="79" t="s">
        <v>948</v>
      </c>
      <c r="C7" s="88" t="s">
        <v>550</v>
      </c>
      <c r="D7" s="88" t="s">
        <v>274</v>
      </c>
      <c r="E7" s="25"/>
      <c r="F7" s="88">
        <v>12345</v>
      </c>
      <c r="G7" s="88">
        <v>44</v>
      </c>
      <c r="H7" s="88" t="s">
        <v>950</v>
      </c>
    </row>
    <row r="8" spans="1:8" s="23" customFormat="1" ht="11.25" x14ac:dyDescent="0.2">
      <c r="A8" s="22" t="s">
        <v>145</v>
      </c>
      <c r="B8" s="79" t="s">
        <v>949</v>
      </c>
      <c r="C8" s="88" t="s">
        <v>269</v>
      </c>
      <c r="D8" s="88" t="s">
        <v>274</v>
      </c>
      <c r="E8" s="25"/>
      <c r="F8" s="88">
        <v>23456</v>
      </c>
      <c r="G8" s="88">
        <v>44</v>
      </c>
      <c r="H8" s="88" t="s">
        <v>950</v>
      </c>
    </row>
  </sheetData>
  <conditionalFormatting sqref="A8">
    <cfRule type="containsText" dxfId="404" priority="10" operator="containsText" text="ADD">
      <formula>NOT(ISERROR(SEARCH("ADD",A8)))</formula>
    </cfRule>
  </conditionalFormatting>
  <conditionalFormatting sqref="A8">
    <cfRule type="containsText" dxfId="403" priority="7" operator="containsText" text="DELETE">
      <formula>NOT(ISERROR(SEARCH("DELETE",A8)))</formula>
    </cfRule>
    <cfRule type="containsText" dxfId="402" priority="8" operator="containsText" text="MODIFY">
      <formula>NOT(ISERROR(SEARCH("MODIFY",A8)))</formula>
    </cfRule>
    <cfRule type="containsText" dxfId="401" priority="9" operator="containsText" text="No ACTION">
      <formula>NOT(ISERROR(SEARCH("No ACTION",A8)))</formula>
    </cfRule>
  </conditionalFormatting>
  <conditionalFormatting sqref="A6:A7">
    <cfRule type="containsText" dxfId="400" priority="6" operator="containsText" text="ADD">
      <formula>NOT(ISERROR(SEARCH("ADD",A6)))</formula>
    </cfRule>
  </conditionalFormatting>
  <conditionalFormatting sqref="A6:A7">
    <cfRule type="containsText" dxfId="399" priority="3" operator="containsText" text="DELETE">
      <formula>NOT(ISERROR(SEARCH("DELETE",A6)))</formula>
    </cfRule>
    <cfRule type="containsText" dxfId="398" priority="4" operator="containsText" text="MODIFY">
      <formula>NOT(ISERROR(SEARCH("MODIFY",A6)))</formula>
    </cfRule>
    <cfRule type="containsText" dxfId="397" priority="5" operator="containsText" text="No ACTION">
      <formula>NOT(ISERROR(SEARCH("No ACTION",A6)))</formula>
    </cfRule>
  </conditionalFormatting>
  <dataValidations count="7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"roamingRestrictions,noReplacement"</formula1>
    </dataValidation>
    <dataValidation type="list" allowBlank="1" showInputMessage="1" showErrorMessage="1" sqref="H6:H8">
      <formula1>"locationUpdateInSameVlr,locationUpdateToAnotherVlr,imsiAttach,mobileStationInitiatedImsiDetach,networkInitiatedImsiDetach"</formula1>
    </dataValidation>
    <dataValidation type="textLength" allowBlank="1" showInputMessage="1" showErrorMessage="1" error="String:_x000a_1..8 _x000a_characters" sqref="B6:B8">
      <formula1>0</formula1>
      <formula2>8</formula2>
    </dataValidation>
    <dataValidation type="whole" allowBlank="1" showInputMessage="1" showErrorMessage="1" error="Value range:0..2147483647" sqref="G6:G8">
      <formula1>0</formula1>
      <formula2>2147483647</formula2>
    </dataValidation>
    <dataValidation type="textLength" allowBlank="1" showInputMessage="1" showErrorMessage="1" error=" Length Range: 1..15" sqref="F6:F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E6:E8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H8"/>
  <sheetViews>
    <sheetView workbookViewId="0">
      <selection activeCell="H8" sqref="H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13.7109375" style="20" customWidth="1"/>
    <col min="4" max="4" width="23.7109375" style="20" customWidth="1"/>
    <col min="5" max="5" width="27.5703125" style="20" customWidth="1"/>
    <col min="6" max="6" width="28.140625" style="20" customWidth="1"/>
    <col min="7" max="7" width="9.140625" style="20" customWidth="1"/>
    <col min="8" max="8" width="41.5703125" style="20" customWidth="1"/>
    <col min="9" max="12" width="23.85546875" style="20"/>
    <col min="13" max="13" width="16.5703125" style="20" customWidth="1"/>
    <col min="14" max="15" width="31.5703125" style="20" customWidth="1"/>
    <col min="16" max="16" width="20.140625" style="20" customWidth="1"/>
    <col min="17" max="17" width="19.42578125" style="20" customWidth="1"/>
    <col min="18" max="16384" width="23.85546875" style="20"/>
  </cols>
  <sheetData>
    <row r="1" spans="1:8" ht="18.75" x14ac:dyDescent="0.25">
      <c r="A1" s="19" t="s">
        <v>9</v>
      </c>
    </row>
    <row r="2" spans="1:8" ht="25.5" x14ac:dyDescent="0.25">
      <c r="B2" s="21" t="s">
        <v>104</v>
      </c>
      <c r="C2" s="32" t="s">
        <v>44</v>
      </c>
    </row>
    <row r="3" spans="1:8" ht="25.5" x14ac:dyDescent="0.25">
      <c r="A3" s="21" t="s">
        <v>105</v>
      </c>
      <c r="B3" s="29" t="s">
        <v>173</v>
      </c>
      <c r="C3" s="29" t="s">
        <v>148</v>
      </c>
      <c r="D3" s="29" t="s">
        <v>174</v>
      </c>
      <c r="E3" s="29" t="s">
        <v>149</v>
      </c>
      <c r="F3" s="29" t="s">
        <v>275</v>
      </c>
      <c r="G3" s="29" t="s">
        <v>178</v>
      </c>
      <c r="H3" s="29" t="s">
        <v>481</v>
      </c>
    </row>
    <row r="4" spans="1:8" ht="25.5" x14ac:dyDescent="0.25">
      <c r="A4" s="21" t="s">
        <v>125</v>
      </c>
      <c r="B4" s="30" t="s">
        <v>126</v>
      </c>
      <c r="C4" s="30" t="s">
        <v>170</v>
      </c>
      <c r="D4" s="30" t="s">
        <v>459</v>
      </c>
      <c r="E4" s="30" t="s">
        <v>460</v>
      </c>
      <c r="F4" s="30" t="s">
        <v>293</v>
      </c>
      <c r="G4" s="30" t="s">
        <v>184</v>
      </c>
      <c r="H4" s="30" t="s">
        <v>463</v>
      </c>
    </row>
    <row r="5" spans="1:8" ht="102" x14ac:dyDescent="0.25">
      <c r="A5" s="28" t="s">
        <v>150</v>
      </c>
      <c r="B5" s="67" t="s">
        <v>476</v>
      </c>
      <c r="C5" s="31" t="s">
        <v>467</v>
      </c>
      <c r="D5" s="31" t="s">
        <v>479</v>
      </c>
      <c r="E5" s="31" t="s">
        <v>472</v>
      </c>
      <c r="F5" s="68" t="s">
        <v>1005</v>
      </c>
      <c r="G5" s="68" t="s">
        <v>1006</v>
      </c>
      <c r="H5" s="31" t="s">
        <v>480</v>
      </c>
    </row>
    <row r="6" spans="1:8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</row>
    <row r="7" spans="1:8" s="23" customFormat="1" ht="11.25" x14ac:dyDescent="0.2">
      <c r="A7" s="22" t="s">
        <v>145</v>
      </c>
      <c r="B7" s="82" t="s">
        <v>948</v>
      </c>
      <c r="C7" s="25"/>
      <c r="D7" s="25"/>
      <c r="E7" s="88" t="s">
        <v>169</v>
      </c>
      <c r="F7" s="88">
        <v>12345</v>
      </c>
      <c r="G7" s="88">
        <v>44</v>
      </c>
      <c r="H7" s="88" t="s">
        <v>952</v>
      </c>
    </row>
    <row r="8" spans="1:8" s="23" customFormat="1" ht="11.25" x14ac:dyDescent="0.2">
      <c r="A8" s="22" t="s">
        <v>145</v>
      </c>
      <c r="B8" s="82" t="s">
        <v>949</v>
      </c>
      <c r="C8" s="25"/>
      <c r="D8" s="88" t="s">
        <v>951</v>
      </c>
      <c r="E8" s="25"/>
      <c r="F8" s="88">
        <v>23456</v>
      </c>
      <c r="G8" s="88">
        <v>44</v>
      </c>
      <c r="H8" s="88" t="s">
        <v>952</v>
      </c>
    </row>
  </sheetData>
  <conditionalFormatting sqref="A8">
    <cfRule type="containsText" dxfId="396" priority="8" operator="containsText" text="ADD">
      <formula>NOT(ISERROR(SEARCH("ADD",A8)))</formula>
    </cfRule>
  </conditionalFormatting>
  <conditionalFormatting sqref="A8">
    <cfRule type="containsText" dxfId="395" priority="5" operator="containsText" text="DELETE">
      <formula>NOT(ISERROR(SEARCH("DELETE",A8)))</formula>
    </cfRule>
    <cfRule type="containsText" dxfId="394" priority="6" operator="containsText" text="MODIFY">
      <formula>NOT(ISERROR(SEARCH("MODIFY",A8)))</formula>
    </cfRule>
    <cfRule type="containsText" dxfId="393" priority="7" operator="containsText" text="No ACTION">
      <formula>NOT(ISERROR(SEARCH("No ACTION",A8)))</formula>
    </cfRule>
  </conditionalFormatting>
  <conditionalFormatting sqref="A6:A7">
    <cfRule type="containsText" dxfId="392" priority="4" operator="containsText" text="ADD">
      <formula>NOT(ISERROR(SEARCH("ADD",A6)))</formula>
    </cfRule>
  </conditionalFormatting>
  <conditionalFormatting sqref="A6:A7">
    <cfRule type="containsText" dxfId="391" priority="1" operator="containsText" text="DELETE">
      <formula>NOT(ISERROR(SEARCH("DELETE",A6)))</formula>
    </cfRule>
    <cfRule type="containsText" dxfId="390" priority="2" operator="containsText" text="MODIFY">
      <formula>NOT(ISERROR(SEARCH("MODIFY",A6)))</formula>
    </cfRule>
    <cfRule type="containsText" dxfId="389" priority="3" operator="containsText" text="No ACTION">
      <formula>NOT(ISERROR(SEARCH("No ACTION",A6)))</formula>
    </cfRule>
  </conditionalFormatting>
  <dataValidations count="7">
    <dataValidation type="list" allowBlank="1" showInputMessage="1" showErrorMessage="1" sqref="H6:H8">
      <formula1>"gprsAttach,mobileStationInitiatedGprsDetach,networkInitiatedGprsDetach,RoutingAreaUpdateToAnotherSgsn,RoutingAreaUpdateWithinSameSgsn,RoutingAreaUpdateToAnotherSgsnDisconnectByDetach,networkInTransmissionToMobileStationForPaging"</formula1>
    </dataValidation>
    <dataValidation type="list" allowBlank="1" showInputMessage="1" showErrorMessage="1" sqref="D6:D8">
      <formula1>"roamingRestrictions,noReplacement,packetDataProtocolNotAvailable"</formula1>
    </dataValidation>
    <dataValidation type="list" allowBlank="1" showInputMessage="1" showErrorMessage="1" sqref="C6:C8">
      <formula1>"noWhere,homePlmn,visitedPlmn,allPlmn"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8 _x000a_characters" sqref="B6:B8">
      <formula1>0</formula1>
      <formula2>8</formula2>
    </dataValidation>
    <dataValidation type="textLength" allowBlank="1" showInputMessage="1" showErrorMessage="1" error=" Length Range: 1..15" sqref="F6:F8">
      <formula1>0</formula1>
      <formula2>15</formula2>
    </dataValidation>
    <dataValidation type="whole" allowBlank="1" showInputMessage="1" showErrorMessage="1" error="Value range:0..2147483647" sqref="G6:G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E6:E8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8"/>
  <sheetViews>
    <sheetView workbookViewId="0">
      <selection activeCell="L8" sqref="L8"/>
    </sheetView>
  </sheetViews>
  <sheetFormatPr defaultColWidth="33.140625" defaultRowHeight="15" x14ac:dyDescent="0.25"/>
  <cols>
    <col min="1" max="1" width="13.5703125" style="20" customWidth="1"/>
    <col min="2" max="2" width="10.5703125" style="20" customWidth="1"/>
    <col min="3" max="3" width="13.7109375" style="20" customWidth="1"/>
    <col min="4" max="4" width="26.140625" style="20" customWidth="1"/>
    <col min="5" max="5" width="17.85546875" style="20" customWidth="1"/>
    <col min="6" max="6" width="22.5703125" style="20" customWidth="1"/>
    <col min="7" max="7" width="30.42578125" style="20" customWidth="1"/>
    <col min="8" max="8" width="20.7109375" style="20" customWidth="1"/>
    <col min="9" max="9" width="21.85546875" style="20" customWidth="1"/>
    <col min="10" max="10" width="9.140625" style="20" customWidth="1"/>
    <col min="11" max="11" width="12.42578125" style="20" customWidth="1"/>
    <col min="12" max="12" width="14.140625" style="20" customWidth="1"/>
    <col min="13" max="16384" width="33.140625" style="20"/>
  </cols>
  <sheetData>
    <row r="1" spans="1:12" ht="18.75" x14ac:dyDescent="0.25">
      <c r="A1" s="19" t="s">
        <v>9</v>
      </c>
    </row>
    <row r="2" spans="1:12" ht="25.5" x14ac:dyDescent="0.25">
      <c r="B2" s="21" t="s">
        <v>104</v>
      </c>
      <c r="C2" s="32" t="s">
        <v>46</v>
      </c>
    </row>
    <row r="3" spans="1:12" ht="24.6" customHeight="1" x14ac:dyDescent="0.25">
      <c r="A3" s="21" t="s">
        <v>105</v>
      </c>
      <c r="B3" s="29" t="s">
        <v>173</v>
      </c>
      <c r="C3" s="29" t="s">
        <v>148</v>
      </c>
      <c r="D3" s="29" t="s">
        <v>174</v>
      </c>
      <c r="E3" s="29" t="s">
        <v>175</v>
      </c>
      <c r="F3" s="29" t="s">
        <v>149</v>
      </c>
      <c r="G3" s="29" t="s">
        <v>953</v>
      </c>
      <c r="H3" s="29" t="s">
        <v>177</v>
      </c>
      <c r="I3" s="29" t="s">
        <v>183</v>
      </c>
      <c r="J3" s="29" t="s">
        <v>178</v>
      </c>
      <c r="K3" s="30" t="s">
        <v>483</v>
      </c>
      <c r="L3" s="29" t="s">
        <v>185</v>
      </c>
    </row>
    <row r="4" spans="1:12" ht="25.5" x14ac:dyDescent="0.25">
      <c r="A4" s="21" t="s">
        <v>125</v>
      </c>
      <c r="B4" s="30" t="s">
        <v>126</v>
      </c>
      <c r="C4" s="30" t="s">
        <v>170</v>
      </c>
      <c r="D4" s="30" t="s">
        <v>265</v>
      </c>
      <c r="E4" s="30" t="s">
        <v>176</v>
      </c>
      <c r="F4" s="30" t="s">
        <v>460</v>
      </c>
      <c r="G4" s="30" t="s">
        <v>519</v>
      </c>
      <c r="H4" s="30" t="s">
        <v>182</v>
      </c>
      <c r="I4" s="30" t="s">
        <v>183</v>
      </c>
      <c r="J4" s="30" t="s">
        <v>184</v>
      </c>
      <c r="K4" s="30" t="s">
        <v>958</v>
      </c>
      <c r="L4" s="30" t="s">
        <v>185</v>
      </c>
    </row>
    <row r="5" spans="1:12" ht="114.75" x14ac:dyDescent="0.25">
      <c r="A5" s="28" t="s">
        <v>150</v>
      </c>
      <c r="B5" s="67" t="s">
        <v>171</v>
      </c>
      <c r="C5" s="31" t="s">
        <v>467</v>
      </c>
      <c r="D5" s="31" t="s">
        <v>482</v>
      </c>
      <c r="E5" s="31">
        <v>4</v>
      </c>
      <c r="F5" s="31" t="s">
        <v>472</v>
      </c>
      <c r="G5" s="31" t="s">
        <v>482</v>
      </c>
      <c r="H5" s="31">
        <v>2</v>
      </c>
      <c r="I5" s="68" t="s">
        <v>1005</v>
      </c>
      <c r="J5" s="68" t="s">
        <v>1006</v>
      </c>
      <c r="K5" s="31" t="s">
        <v>957</v>
      </c>
      <c r="L5" s="31" t="s">
        <v>740</v>
      </c>
    </row>
    <row r="6" spans="1:12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  <c r="I6" s="81"/>
      <c r="J6" s="81"/>
      <c r="K6" s="81"/>
      <c r="L6" s="81"/>
    </row>
    <row r="7" spans="1:12" s="23" customFormat="1" ht="11.25" x14ac:dyDescent="0.2">
      <c r="A7" s="22" t="s">
        <v>145</v>
      </c>
      <c r="B7" s="82" t="s">
        <v>948</v>
      </c>
      <c r="C7" s="88" t="s">
        <v>745</v>
      </c>
      <c r="D7" s="88" t="s">
        <v>954</v>
      </c>
      <c r="E7" s="89">
        <v>4</v>
      </c>
      <c r="F7" s="25"/>
      <c r="G7" s="88" t="s">
        <v>954</v>
      </c>
      <c r="H7" s="88">
        <v>2</v>
      </c>
      <c r="I7" s="88">
        <v>12345</v>
      </c>
      <c r="J7" s="88">
        <v>44</v>
      </c>
      <c r="K7" s="88" t="s">
        <v>955</v>
      </c>
      <c r="L7" s="88" t="s">
        <v>500</v>
      </c>
    </row>
    <row r="8" spans="1:12" s="23" customFormat="1" ht="11.25" x14ac:dyDescent="0.2">
      <c r="A8" s="22" t="s">
        <v>145</v>
      </c>
      <c r="B8" s="82" t="s">
        <v>949</v>
      </c>
      <c r="C8" s="88" t="s">
        <v>269</v>
      </c>
      <c r="D8" s="25"/>
      <c r="E8" s="88">
        <v>4</v>
      </c>
      <c r="F8" s="25"/>
      <c r="G8" s="88" t="s">
        <v>274</v>
      </c>
      <c r="H8" s="88">
        <v>2</v>
      </c>
      <c r="I8" s="88">
        <v>23456</v>
      </c>
      <c r="J8" s="88">
        <v>44</v>
      </c>
      <c r="K8" s="88" t="s">
        <v>956</v>
      </c>
      <c r="L8" s="88" t="s">
        <v>501</v>
      </c>
    </row>
  </sheetData>
  <conditionalFormatting sqref="A8">
    <cfRule type="containsText" dxfId="388" priority="13" operator="containsText" text="ADD">
      <formula>NOT(ISERROR(SEARCH("ADD",A8)))</formula>
    </cfRule>
  </conditionalFormatting>
  <conditionalFormatting sqref="A8">
    <cfRule type="containsText" dxfId="387" priority="10" operator="containsText" text="DELETE">
      <formula>NOT(ISERROR(SEARCH("DELETE",A8)))</formula>
    </cfRule>
    <cfRule type="containsText" dxfId="386" priority="11" operator="containsText" text="MODIFY">
      <formula>NOT(ISERROR(SEARCH("MODIFY",A8)))</formula>
    </cfRule>
    <cfRule type="containsText" dxfId="385" priority="12" operator="containsText" text="No ACTION">
      <formula>NOT(ISERROR(SEARCH("No ACTION",A8)))</formula>
    </cfRule>
  </conditionalFormatting>
  <conditionalFormatting sqref="A6:A7">
    <cfRule type="containsText" dxfId="384" priority="9" operator="containsText" text="ADD">
      <formula>NOT(ISERROR(SEARCH("ADD",A6)))</formula>
    </cfRule>
  </conditionalFormatting>
  <conditionalFormatting sqref="A6:A7">
    <cfRule type="containsText" dxfId="383" priority="6" operator="containsText" text="DELETE">
      <formula>NOT(ISERROR(SEARCH("DELETE",A6)))</formula>
    </cfRule>
    <cfRule type="containsText" dxfId="382" priority="7" operator="containsText" text="MODIFY">
      <formula>NOT(ISERROR(SEARCH("MODIFY",A6)))</formula>
    </cfRule>
    <cfRule type="containsText" dxfId="381" priority="8" operator="containsText" text="No ACTION">
      <formula>NOT(ISERROR(SEARCH("No ACTION",A6)))</formula>
    </cfRule>
  </conditionalFormatting>
  <conditionalFormatting sqref="L6:L8">
    <cfRule type="expression" dxfId="380" priority="5">
      <formula>I6=""</formula>
    </cfRule>
  </conditionalFormatting>
  <conditionalFormatting sqref="K6:K8">
    <cfRule type="expression" dxfId="379" priority="2">
      <formula>I6=""</formula>
    </cfRule>
  </conditionalFormatting>
  <dataValidations count="11">
    <dataValidation type="list" showInputMessage="1" showErrorMessage="1" sqref="A6:A8">
      <formula1>"ADD,MODIFY,DELETE,NO ACTION"</formula1>
    </dataValidation>
    <dataValidation type="list" allowBlank="1" showInputMessage="1" showErrorMessage="1" sqref="H6:H8">
      <formula1>"2"</formula1>
    </dataValidation>
    <dataValidation type="list" allowBlank="1" showInputMessage="1" showErrorMessage="1" sqref="E6:E8">
      <formula1>"4"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"roamingRestrictions,noReplacement,suppressMobileTerminatingSms"</formula1>
    </dataValidation>
    <dataValidation type="list" allowBlank="1" showInputMessage="1" showErrorMessage="1" sqref="K6:K8">
      <formula1>"delivery,statusReport,submitReport"</formula1>
    </dataValidation>
    <dataValidation type="list" allowBlank="1" showInputMessage="1" showErrorMessage="1" sqref="G6:G8">
      <formula1>"roamingRestrictions,noReplacement,suppressMobileTerminatingSms"</formula1>
    </dataValidation>
    <dataValidation type="list" allowBlank="1" showInputMessage="1" showErrorMessage="1" sqref="L6:L8">
      <formula1>"true, false"</formula1>
    </dataValidation>
    <dataValidation type="textLength" allowBlank="1" showInputMessage="1" showErrorMessage="1" error=" Length Range: 1..15" sqref="I6:I8">
      <formula1>0</formula1>
      <formula2>15</formula2>
    </dataValidation>
    <dataValidation type="whole" allowBlank="1" showInputMessage="1" showErrorMessage="1" error="Value range:0..2147483647" sqref="J6:J8">
      <formula1>0</formula1>
      <formula2>2147483647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F6:F8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K8"/>
  <sheetViews>
    <sheetView workbookViewId="0">
      <selection activeCell="K8" sqref="K8"/>
    </sheetView>
  </sheetViews>
  <sheetFormatPr defaultColWidth="34" defaultRowHeight="15" x14ac:dyDescent="0.25"/>
  <cols>
    <col min="1" max="1" width="13.5703125" style="20" bestFit="1" customWidth="1"/>
    <col min="2" max="2" width="11.5703125" style="20" bestFit="1" customWidth="1"/>
    <col min="3" max="3" width="21.5703125" style="20" bestFit="1" customWidth="1"/>
    <col min="4" max="4" width="27.7109375" style="20" bestFit="1" customWidth="1"/>
    <col min="5" max="5" width="32.140625" style="20" bestFit="1" customWidth="1"/>
    <col min="6" max="7" width="15.42578125" style="20" bestFit="1" customWidth="1"/>
    <col min="8" max="8" width="17.5703125" style="20" bestFit="1" customWidth="1"/>
    <col min="9" max="9" width="17.28515625" style="20" bestFit="1" customWidth="1"/>
    <col min="10" max="10" width="35.7109375" style="20" bestFit="1" customWidth="1"/>
    <col min="11" max="11" width="24.140625" style="20" bestFit="1" customWidth="1"/>
    <col min="12" max="16384" width="34" style="20"/>
  </cols>
  <sheetData>
    <row r="1" spans="1:11" ht="18.75" x14ac:dyDescent="0.25">
      <c r="A1" s="19" t="s">
        <v>9</v>
      </c>
    </row>
    <row r="2" spans="1:11" ht="25.5" x14ac:dyDescent="0.25">
      <c r="B2" s="21" t="s">
        <v>104</v>
      </c>
      <c r="C2" s="32" t="s">
        <v>48</v>
      </c>
    </row>
    <row r="3" spans="1:11" ht="25.5" x14ac:dyDescent="0.25">
      <c r="A3" s="21" t="s">
        <v>105</v>
      </c>
      <c r="B3" s="29" t="s">
        <v>493</v>
      </c>
      <c r="C3" s="29" t="s">
        <v>484</v>
      </c>
      <c r="D3" s="29" t="s">
        <v>485</v>
      </c>
      <c r="E3" s="29" t="s">
        <v>486</v>
      </c>
      <c r="F3" s="29" t="s">
        <v>487</v>
      </c>
      <c r="G3" s="29" t="s">
        <v>488</v>
      </c>
      <c r="H3" s="29" t="s">
        <v>489</v>
      </c>
      <c r="I3" s="29" t="s">
        <v>490</v>
      </c>
      <c r="J3" s="30" t="s">
        <v>491</v>
      </c>
      <c r="K3" s="29" t="s">
        <v>492</v>
      </c>
    </row>
    <row r="4" spans="1:11" ht="25.5" x14ac:dyDescent="0.25">
      <c r="A4" s="21" t="s">
        <v>125</v>
      </c>
      <c r="B4" s="30" t="s">
        <v>126</v>
      </c>
      <c r="C4" s="30" t="s">
        <v>484</v>
      </c>
      <c r="D4" s="30" t="s">
        <v>485</v>
      </c>
      <c r="E4" s="30" t="s">
        <v>486</v>
      </c>
      <c r="F4" s="30" t="s">
        <v>487</v>
      </c>
      <c r="G4" s="30" t="s">
        <v>488</v>
      </c>
      <c r="H4" s="30" t="s">
        <v>489</v>
      </c>
      <c r="I4" s="30" t="s">
        <v>490</v>
      </c>
      <c r="J4" s="30" t="s">
        <v>491</v>
      </c>
      <c r="K4" s="30" t="s">
        <v>492</v>
      </c>
    </row>
    <row r="5" spans="1:11" ht="36.75" x14ac:dyDescent="0.25">
      <c r="A5" s="28" t="s">
        <v>150</v>
      </c>
      <c r="B5" s="67" t="s">
        <v>171</v>
      </c>
      <c r="C5" s="31" t="s">
        <v>959</v>
      </c>
      <c r="D5" s="31" t="s">
        <v>959</v>
      </c>
      <c r="E5" s="31" t="s">
        <v>959</v>
      </c>
      <c r="F5" s="31" t="s">
        <v>959</v>
      </c>
      <c r="G5" s="31" t="s">
        <v>959</v>
      </c>
      <c r="H5" s="31" t="s">
        <v>959</v>
      </c>
      <c r="I5" s="31" t="s">
        <v>959</v>
      </c>
      <c r="J5" s="31" t="s">
        <v>959</v>
      </c>
      <c r="K5" s="31" t="s">
        <v>959</v>
      </c>
    </row>
    <row r="6" spans="1:11" s="78" customFormat="1" ht="11.25" hidden="1" x14ac:dyDescent="0.2">
      <c r="A6" s="75" t="s">
        <v>1001</v>
      </c>
      <c r="B6" s="76" t="s">
        <v>947</v>
      </c>
      <c r="C6" s="77" t="s">
        <v>500</v>
      </c>
      <c r="D6" s="77" t="s">
        <v>500</v>
      </c>
      <c r="E6" s="77" t="s">
        <v>500</v>
      </c>
      <c r="F6" s="77" t="s">
        <v>500</v>
      </c>
      <c r="G6" s="77" t="s">
        <v>500</v>
      </c>
      <c r="H6" s="77" t="s">
        <v>500</v>
      </c>
      <c r="I6" s="77" t="s">
        <v>500</v>
      </c>
      <c r="J6" s="77" t="s">
        <v>500</v>
      </c>
      <c r="K6" s="77" t="s">
        <v>500</v>
      </c>
    </row>
    <row r="7" spans="1:11" s="23" customFormat="1" ht="11.25" x14ac:dyDescent="0.2">
      <c r="A7" s="22" t="s">
        <v>145</v>
      </c>
      <c r="B7" s="82" t="s">
        <v>948</v>
      </c>
      <c r="C7" s="92" t="s">
        <v>500</v>
      </c>
      <c r="D7" s="92" t="s">
        <v>500</v>
      </c>
      <c r="E7" s="92" t="s">
        <v>500</v>
      </c>
      <c r="F7" s="92" t="s">
        <v>500</v>
      </c>
      <c r="G7" s="92" t="s">
        <v>500</v>
      </c>
      <c r="H7" s="92" t="s">
        <v>500</v>
      </c>
      <c r="I7" s="92" t="s">
        <v>500</v>
      </c>
      <c r="J7" s="92" t="s">
        <v>500</v>
      </c>
      <c r="K7" s="92" t="s">
        <v>500</v>
      </c>
    </row>
    <row r="8" spans="1:11" s="23" customFormat="1" ht="11.25" x14ac:dyDescent="0.2">
      <c r="A8" s="22" t="s">
        <v>145</v>
      </c>
      <c r="B8" s="82" t="s">
        <v>949</v>
      </c>
      <c r="C8" s="92" t="s">
        <v>501</v>
      </c>
      <c r="D8" s="93" t="s">
        <v>501</v>
      </c>
      <c r="E8" s="92" t="s">
        <v>501</v>
      </c>
      <c r="F8" s="92" t="s">
        <v>501</v>
      </c>
      <c r="G8" s="92" t="s">
        <v>501</v>
      </c>
      <c r="H8" s="92" t="s">
        <v>501</v>
      </c>
      <c r="I8" s="92" t="s">
        <v>501</v>
      </c>
      <c r="J8" s="92" t="s">
        <v>501</v>
      </c>
      <c r="K8" s="92" t="s">
        <v>501</v>
      </c>
    </row>
  </sheetData>
  <conditionalFormatting sqref="A8">
    <cfRule type="containsText" dxfId="378" priority="9" operator="containsText" text="ADD">
      <formula>NOT(ISERROR(SEARCH("ADD",A8)))</formula>
    </cfRule>
  </conditionalFormatting>
  <conditionalFormatting sqref="A8">
    <cfRule type="containsText" dxfId="377" priority="6" operator="containsText" text="DELETE">
      <formula>NOT(ISERROR(SEARCH("DELETE",A8)))</formula>
    </cfRule>
    <cfRule type="containsText" dxfId="376" priority="7" operator="containsText" text="MODIFY">
      <formula>NOT(ISERROR(SEARCH("MODIFY",A8)))</formula>
    </cfRule>
    <cfRule type="containsText" dxfId="375" priority="8" operator="containsText" text="No ACTION">
      <formula>NOT(ISERROR(SEARCH("No ACTION",A8)))</formula>
    </cfRule>
  </conditionalFormatting>
  <conditionalFormatting sqref="A6:A7">
    <cfRule type="containsText" dxfId="374" priority="5" operator="containsText" text="ADD">
      <formula>NOT(ISERROR(SEARCH("ADD",A6)))</formula>
    </cfRule>
  </conditionalFormatting>
  <conditionalFormatting sqref="A6:A7">
    <cfRule type="containsText" dxfId="373" priority="2" operator="containsText" text="DELETE">
      <formula>NOT(ISERROR(SEARCH("DELETE",A6)))</formula>
    </cfRule>
    <cfRule type="containsText" dxfId="372" priority="3" operator="containsText" text="MODIFY">
      <formula>NOT(ISERROR(SEARCH("MODIFY",A6)))</formula>
    </cfRule>
    <cfRule type="containsText" dxfId="371" priority="4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list" allowBlank="1" showInputMessage="1" showErrorMessage="1" sqref="C6:K8">
      <formula1>"true, false"</formula1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S10"/>
  <sheetViews>
    <sheetView workbookViewId="0">
      <pane ySplit="5" topLeftCell="A7" activePane="bottomLeft" state="frozen"/>
      <selection pane="bottomLeft" activeCell="D15" sqref="D15"/>
    </sheetView>
  </sheetViews>
  <sheetFormatPr defaultColWidth="31.85546875" defaultRowHeight="15" x14ac:dyDescent="0.25"/>
  <cols>
    <col min="1" max="1" width="13.5703125" style="20" customWidth="1"/>
    <col min="2" max="2" width="10.5703125" style="20" bestFit="1" customWidth="1"/>
    <col min="3" max="3" width="31" style="20" bestFit="1" customWidth="1"/>
    <col min="4" max="4" width="13.7109375" style="20" bestFit="1" customWidth="1"/>
    <col min="5" max="5" width="17.85546875" style="20" bestFit="1" customWidth="1"/>
    <col min="6" max="6" width="17.7109375" style="20" customWidth="1"/>
    <col min="7" max="7" width="17.140625" style="20" customWidth="1"/>
    <col min="8" max="8" width="32.42578125" style="20" customWidth="1"/>
    <col min="9" max="9" width="23.140625" style="20" customWidth="1"/>
    <col min="10" max="10" width="28.28515625" style="20" bestFit="1" customWidth="1"/>
    <col min="11" max="11" width="22.28515625" style="20" bestFit="1" customWidth="1"/>
    <col min="12" max="12" width="16.5703125" style="20" bestFit="1" customWidth="1"/>
    <col min="13" max="13" width="24.85546875" style="20" bestFit="1" customWidth="1"/>
    <col min="14" max="14" width="9.85546875" style="20" bestFit="1" customWidth="1"/>
    <col min="15" max="15" width="17.85546875" style="20" bestFit="1" customWidth="1"/>
    <col min="16" max="16" width="15.5703125" style="20" customWidth="1"/>
    <col min="17" max="17" width="10" style="20" customWidth="1"/>
    <col min="18" max="18" width="16.140625" style="20" bestFit="1" customWidth="1"/>
    <col min="19" max="16384" width="31.85546875" style="20"/>
  </cols>
  <sheetData>
    <row r="1" spans="1:19" ht="18.75" x14ac:dyDescent="0.25">
      <c r="A1" s="19" t="s">
        <v>9</v>
      </c>
    </row>
    <row r="2" spans="1:19" ht="25.5" x14ac:dyDescent="0.25">
      <c r="B2" s="21" t="s">
        <v>104</v>
      </c>
      <c r="C2" s="32" t="s">
        <v>17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  <c r="R2" s="354" t="s">
        <v>964</v>
      </c>
      <c r="S2" s="354"/>
    </row>
    <row r="3" spans="1:19" ht="36.75" x14ac:dyDescent="0.25">
      <c r="A3" s="21" t="s">
        <v>105</v>
      </c>
      <c r="B3" s="29" t="s">
        <v>173</v>
      </c>
      <c r="C3" s="29" t="s">
        <v>261</v>
      </c>
      <c r="D3" s="29" t="s">
        <v>148</v>
      </c>
      <c r="E3" s="29" t="s">
        <v>175</v>
      </c>
      <c r="F3" s="48" t="s">
        <v>766</v>
      </c>
      <c r="G3" s="48" t="s">
        <v>767</v>
      </c>
      <c r="H3" s="29" t="s">
        <v>768</v>
      </c>
      <c r="I3" s="48" t="s">
        <v>149</v>
      </c>
      <c r="J3" s="29" t="s">
        <v>180</v>
      </c>
      <c r="K3" s="29" t="s">
        <v>262</v>
      </c>
      <c r="L3" s="29" t="s">
        <v>742</v>
      </c>
      <c r="M3" s="29" t="s">
        <v>263</v>
      </c>
      <c r="N3" s="29" t="s">
        <v>264</v>
      </c>
      <c r="O3" s="29" t="s">
        <v>181</v>
      </c>
      <c r="P3" s="29" t="s">
        <v>753</v>
      </c>
      <c r="Q3" s="29" t="s">
        <v>755</v>
      </c>
      <c r="R3" s="48" t="s">
        <v>936</v>
      </c>
      <c r="S3" s="48" t="s">
        <v>899</v>
      </c>
    </row>
    <row r="4" spans="1:19" ht="38.25" x14ac:dyDescent="0.25">
      <c r="A4" s="21" t="s">
        <v>125</v>
      </c>
      <c r="B4" s="30" t="s">
        <v>126</v>
      </c>
      <c r="C4" s="30" t="s">
        <v>265</v>
      </c>
      <c r="D4" s="30" t="s">
        <v>179</v>
      </c>
      <c r="E4" s="30" t="s">
        <v>176</v>
      </c>
      <c r="F4" s="34" t="s">
        <v>267</v>
      </c>
      <c r="G4" s="34" t="s">
        <v>758</v>
      </c>
      <c r="H4" s="30" t="s">
        <v>268</v>
      </c>
      <c r="I4" s="34" t="s">
        <v>460</v>
      </c>
      <c r="J4" s="30" t="s">
        <v>266</v>
      </c>
      <c r="K4" s="30" t="s">
        <v>146</v>
      </c>
      <c r="L4" s="30" t="s">
        <v>743</v>
      </c>
      <c r="M4" s="30" t="s">
        <v>183</v>
      </c>
      <c r="N4" s="30" t="s">
        <v>184</v>
      </c>
      <c r="O4" s="30" t="s">
        <v>185</v>
      </c>
      <c r="P4" s="30" t="s">
        <v>464</v>
      </c>
      <c r="Q4" s="30" t="s">
        <v>754</v>
      </c>
      <c r="R4" s="34" t="s">
        <v>769</v>
      </c>
      <c r="S4" s="34" t="s">
        <v>770</v>
      </c>
    </row>
    <row r="5" spans="1:19" ht="21" hidden="1" customHeight="1" x14ac:dyDescent="0.25">
      <c r="A5" s="28" t="s">
        <v>1152</v>
      </c>
      <c r="B5" s="67" t="s">
        <v>171</v>
      </c>
      <c r="C5" s="31" t="s">
        <v>1153</v>
      </c>
      <c r="D5" s="31" t="s">
        <v>1154</v>
      </c>
      <c r="E5" s="31" t="s">
        <v>1155</v>
      </c>
      <c r="F5" s="49" t="s">
        <v>1131</v>
      </c>
      <c r="G5" s="49" t="s">
        <v>1156</v>
      </c>
      <c r="H5" s="31" t="s">
        <v>1157</v>
      </c>
      <c r="I5" s="49" t="s">
        <v>1158</v>
      </c>
      <c r="J5" s="31" t="s">
        <v>1159</v>
      </c>
      <c r="K5" s="31" t="s">
        <v>1160</v>
      </c>
      <c r="L5" s="31" t="s">
        <v>1161</v>
      </c>
      <c r="M5" s="68" t="s">
        <v>1162</v>
      </c>
      <c r="N5" s="68" t="s">
        <v>1163</v>
      </c>
      <c r="O5" s="31" t="s">
        <v>1164</v>
      </c>
      <c r="P5" s="31" t="s">
        <v>1165</v>
      </c>
      <c r="Q5" s="31" t="s">
        <v>1166</v>
      </c>
      <c r="R5" s="49" t="str">
        <f>_xlfn.TEXTJOIN(";",TRUE,refValues!F2:F128)</f>
        <v>TS10-telephony;TS20-shortMessage;TS60-fax;BS20-dataAsync;BS30-dataSync;BS40-padAccess;TS11;TS12;TS21;TS22;TS61;TS62;VGCS;VBS;BS20GENR;BS21;BS22;BS23;BS24;BS25;BS26;BS30GENR;BS31;BS32;BS33;BS34;BS40GENR;BS41;BS42;BS44;BS45;BS46;BS61A;BS81A;AllTeleservices;AllBearerServices</v>
      </c>
      <c r="S5" s="49" t="str">
        <f>_xlfn.TEXTJOIN(";",TRUE,refValues!E2:E128)</f>
        <v>unAllocatedNumber;noRouteToSpecificTransitNetwork;noRouteToDestination;sendSpecialInfoTone;misDialedTrunkPrefix;channelUnAcceptable;callAwardedBeingDelivered;preemption;preemptionReservedForReuse;normalCallClearing;userBusy;noUserResponding;noAnswerFromUser;subscriberAbsent;callRejected;numberChanged;redirectionToNewDestination;exchangeRoutingError;nonSelectedUserClearing;destinationOutOfOrder;invalidNumberFormat;facilityRejected;noResponseToStatusEnquiry;normalUnspecified;noCurcuitChannelAvailable;networkOutOfOrder;connectionOutOfService;connectionOperational;temporaryFailure;switchingEquipmentCongestion;accessInfoDiscarded;requestedCurcuitChannelNotAvailable;precedenceCallBlocked;resourceUnAvailable;qualityOfServiceNotAvailable;requestedFacilityNotAvailable;barringOutgoingCallWithinCug;barringIncomingCallWithinCug;bearerCapabilityNotAuthorized;bearerCapabilityNotAvailable;inconsistency;serviceOrOptionNotAvailable;bearerCapabilityNotImplemented;channelTypeNotImplemented;requestedFaclityNotImplemented;onlyRestrictedInfoAvailable;serviceOrOptionNotImplemted;invalidCallReferenceValue;channelIdDoesNotExist;suspendedCallExists;callIdentityInUse;noCallSuspended;requestedCallIdCleared;userIsNotMemberOfCug;incompatibleDestination;nonExistentClosedUserGroup;invalidTransitNetworkSelection;invalidMessage;mandatoryInfoElementMissing;messageTypeNonExistent;messageNotCompatible;infoElementParameterNonExistent;invalidInfoElementContent;messageNotCompatibleWithCallState;recoveryOnTimeExpiry;parameterNonExistentPassedOn;messageDiscarded;protocolErrorUnSpecified;interworkingUnSpecified;reservedCause10;reservedCause11;reservedCause12;reservedCause13;reservedCause14;reservedCause15;reservedCause24;reservedCause32;reservedCause33;reservedCause35;reservedCause36;reservedCause37;reservedCause45;reservedCause48;reservedCause51;reservedCause52;reservedCause54;reservedCause56;reservedCause59;reservedCause60;reservedCause61;reservedCause64;reservedCause67;reservedCause68;reservedCause71;reservedCause72;reservedCause73;reservedCause74;reservedCause75;reservedCause76;reservedCause77;reservedCause78;reservedCause80;reservedCause89;reservedCause92;reservedCause93;reservedCause94;reservedCause104;reservedCause105;reservedCause106;reservedCause107;reservedCause108;reservedCause109;reservedCause112;reservedCause113;reservedCause114;reservedCause115;reservedCause116;reservedCause117;reservedCause118;reservedCause119;reservedCause120;reservedCause121;reservedCause122;reservedCause123;reservedCause124;reservedCause125;reservedCause126</v>
      </c>
    </row>
    <row r="6" spans="1:19" s="23" customFormat="1" ht="21" hidden="1" x14ac:dyDescent="0.2">
      <c r="A6" s="22" t="s">
        <v>1001</v>
      </c>
      <c r="B6" s="76"/>
      <c r="C6" s="81"/>
      <c r="D6" s="81"/>
      <c r="E6" s="81"/>
      <c r="F6" s="77"/>
      <c r="G6" s="81"/>
      <c r="H6" s="81"/>
      <c r="I6" s="81"/>
      <c r="J6" s="81"/>
      <c r="K6" s="77"/>
      <c r="L6" s="77"/>
      <c r="M6" s="81"/>
      <c r="N6" s="81"/>
      <c r="O6" s="81"/>
      <c r="P6" s="81"/>
      <c r="Q6" s="81"/>
      <c r="R6" s="81"/>
      <c r="S6" s="81"/>
    </row>
    <row r="7" spans="1:19" s="64" customFormat="1" ht="15" customHeight="1" x14ac:dyDescent="0.25"/>
    <row r="8" spans="1:19" x14ac:dyDescent="0.25">
      <c r="F8" s="64"/>
    </row>
    <row r="9" spans="1:19" x14ac:dyDescent="0.25">
      <c r="F9" s="64"/>
    </row>
    <row r="10" spans="1:19" x14ac:dyDescent="0.25">
      <c r="F10" s="64"/>
    </row>
  </sheetData>
  <mergeCells count="1">
    <mergeCell ref="R2:S2"/>
  </mergeCells>
  <conditionalFormatting sqref="A6">
    <cfRule type="containsText" dxfId="370" priority="40" operator="containsText" text="ADD">
      <formula>NOT(ISERROR(SEARCH("ADD",A6)))</formula>
    </cfRule>
  </conditionalFormatting>
  <conditionalFormatting sqref="A6">
    <cfRule type="containsText" dxfId="369" priority="37" operator="containsText" text="DELETE">
      <formula>NOT(ISERROR(SEARCH("DELETE",A6)))</formula>
    </cfRule>
    <cfRule type="containsText" dxfId="368" priority="38" operator="containsText" text="MODIFY">
      <formula>NOT(ISERROR(SEARCH("MODIFY",A6)))</formula>
    </cfRule>
    <cfRule type="containsText" dxfId="367" priority="39" operator="containsText" text="No ACTION">
      <formula>NOT(ISERROR(SEARCH("No ACTION",A6)))</formula>
    </cfRule>
  </conditionalFormatting>
  <conditionalFormatting sqref="O6 Q6:S6">
    <cfRule type="expression" dxfId="366" priority="22">
      <formula>L6=""</formula>
    </cfRule>
  </conditionalFormatting>
  <conditionalFormatting sqref="G6">
    <cfRule type="expression" dxfId="365" priority="3">
      <formula>F6="false"</formula>
    </cfRule>
  </conditionalFormatting>
  <conditionalFormatting sqref="M6">
    <cfRule type="expression" dxfId="364" priority="2">
      <formula>L6=""</formula>
    </cfRule>
  </conditionalFormatting>
  <conditionalFormatting sqref="N6">
    <cfRule type="expression" dxfId="363" priority="1">
      <formula>L6=""</formula>
    </cfRule>
  </conditionalFormatting>
  <dataValidations count="11">
    <dataValidation type="list" allowBlank="1" showInputMessage="1" showErrorMessage="1" sqref="D6">
      <formula1>"allPlmn, homePlmn, noWhere, visitedPlmn"</formula1>
    </dataValidation>
    <dataValidation type="list" allowBlank="1" showInputMessage="1" showErrorMessage="1" sqref="C6">
      <formula1>"roamingRestrictions, barringOfOutgoingCalls, barringOfOutgoingCallsExceptTS22, noReplacement"</formula1>
    </dataValidation>
    <dataValidation type="list" showInputMessage="1" showErrorMessage="1" sqref="A6">
      <formula1>"ADD,MODIFY,DELETE,NO ACTION"</formula1>
    </dataValidation>
    <dataValidation type="list" allowBlank="1" showInputMessage="1" showErrorMessage="1" sqref="J6">
      <formula1>"replaceByBAIC, noReplacement, noOptimalRouting"</formula1>
    </dataValidation>
    <dataValidation type="list" allowBlank="1" showInputMessage="1" showErrorMessage="1" sqref="F6 K6 H6 O6">
      <formula1>"true, false"</formula1>
    </dataValidation>
    <dataValidation type="list" allowBlank="1" showInputMessage="1" showErrorMessage="1" sqref="L6">
      <formula1>"2,4"</formula1>
    </dataValidation>
    <dataValidation type="list" allowBlank="1" showInputMessage="1" showErrorMessage="1" sqref="Q6">
      <formula1>"international,unknown"</formula1>
    </dataValidation>
    <dataValidation type="textLength" allowBlank="1" showInputMessage="1" showErrorMessage="1" error=" Length Range: 1..15" sqref="M6 P6">
      <formula1>0</formula1>
      <formula2>15</formula2>
    </dataValidation>
    <dataValidation type="whole" allowBlank="1" showInputMessage="1" showErrorMessage="1" error="Value range:0..2147483647" sqref="N6">
      <formula1>0</formula1>
      <formula2>2147483647</formula2>
    </dataValidation>
    <dataValidation type="whole" allowBlank="1" showInputMessage="1" showErrorMessage="1" error="Integer (1..15)" sqref="G6">
      <formula1>0</formula1>
      <formula2>15</formula2>
    </dataValidation>
    <dataValidation type="textLength" allowBlank="1" showInputMessage="1" showErrorMessage="1" error="String:_x000a_1..10_x000a_characters" sqref="B6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refValues!$D$2:$D$20</xm:f>
          </x14:formula1>
          <xm:sqref>I6</xm:sqref>
        </x14:dataValidation>
        <x14:dataValidation type="list" allowBlank="1" showInputMessage="1" showErrorMessage="1">
          <x14:formula1>
            <xm:f>refValues!$F$2:$F$37</xm:f>
          </x14:formula1>
          <xm:sqref>R6</xm:sqref>
        </x14:dataValidation>
        <x14:dataValidation type="list" allowBlank="1" showInputMessage="1" showErrorMessage="1">
          <x14:formula1>
            <xm:f>refValues!$E$2:$E$128</xm:f>
          </x14:formula1>
          <xm:sqref>S6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82"/>
  <sheetViews>
    <sheetView workbookViewId="0">
      <pane ySplit="2" topLeftCell="A19" activePane="bottomLeft" state="frozen"/>
      <selection activeCell="D1" sqref="D1"/>
      <selection pane="bottomLeft" activeCell="E2" sqref="E2"/>
    </sheetView>
  </sheetViews>
  <sheetFormatPr defaultRowHeight="15" x14ac:dyDescent="0.25"/>
  <cols>
    <col min="1" max="1" width="27.85546875" style="63" bestFit="1" customWidth="1"/>
    <col min="2" max="2" width="8.28515625" style="154" bestFit="1" customWidth="1"/>
    <col min="3" max="3" width="29.7109375" style="63" bestFit="1" customWidth="1"/>
    <col min="4" max="4" width="9.28515625" style="135" bestFit="1" customWidth="1"/>
    <col min="5" max="5" width="11.7109375" style="63" customWidth="1"/>
    <col min="6" max="6" width="32.28515625" style="63" bestFit="1" customWidth="1"/>
    <col min="7" max="16384" width="9.140625" style="63"/>
  </cols>
  <sheetData>
    <row r="1" spans="1:6" x14ac:dyDescent="0.25">
      <c r="A1" s="21" t="s">
        <v>1028</v>
      </c>
      <c r="B1" s="127" t="s">
        <v>1105</v>
      </c>
      <c r="C1" s="21" t="s">
        <v>1029</v>
      </c>
      <c r="D1" s="63"/>
    </row>
    <row r="2" spans="1:6" ht="50.25" customHeight="1" x14ac:dyDescent="0.25">
      <c r="A2" s="113" t="s">
        <v>1030</v>
      </c>
      <c r="B2" s="114" t="s">
        <v>1031</v>
      </c>
      <c r="C2" s="95" t="s">
        <v>1032</v>
      </c>
      <c r="D2" s="149" t="s">
        <v>1033</v>
      </c>
      <c r="E2" s="95" t="s">
        <v>1034</v>
      </c>
      <c r="F2" s="95" t="s">
        <v>1035</v>
      </c>
    </row>
    <row r="3" spans="1:6" x14ac:dyDescent="0.25">
      <c r="A3" s="155" t="s">
        <v>126</v>
      </c>
      <c r="B3" s="156" t="s">
        <v>1036</v>
      </c>
      <c r="C3" s="156" t="s">
        <v>1167</v>
      </c>
      <c r="D3" s="150">
        <v>0</v>
      </c>
      <c r="E3" s="128" t="s">
        <v>1102</v>
      </c>
      <c r="F3" s="118" t="s">
        <v>1102</v>
      </c>
    </row>
    <row r="4" spans="1:6" x14ac:dyDescent="0.25">
      <c r="A4" s="355" t="s">
        <v>176</v>
      </c>
      <c r="B4" s="303" t="s">
        <v>1036</v>
      </c>
      <c r="C4" s="357" t="s">
        <v>1106</v>
      </c>
      <c r="D4" s="359">
        <v>0</v>
      </c>
      <c r="E4" s="146" t="s">
        <v>1096</v>
      </c>
      <c r="F4" s="143">
        <v>1</v>
      </c>
    </row>
    <row r="5" spans="1:6" x14ac:dyDescent="0.25">
      <c r="A5" s="355"/>
      <c r="B5" s="303"/>
      <c r="C5" s="357"/>
      <c r="D5" s="360"/>
      <c r="E5" s="147" t="s">
        <v>1097</v>
      </c>
      <c r="F5" s="144">
        <v>2</v>
      </c>
    </row>
    <row r="6" spans="1:6" x14ac:dyDescent="0.25">
      <c r="A6" s="355"/>
      <c r="B6" s="303"/>
      <c r="C6" s="357"/>
      <c r="D6" s="360"/>
      <c r="E6" s="147" t="s">
        <v>1147</v>
      </c>
      <c r="F6" s="144" t="s">
        <v>1148</v>
      </c>
    </row>
    <row r="7" spans="1:6" x14ac:dyDescent="0.25">
      <c r="A7" s="355"/>
      <c r="B7" s="303"/>
      <c r="C7" s="357"/>
      <c r="D7" s="360"/>
      <c r="E7" s="147" t="s">
        <v>1150</v>
      </c>
      <c r="F7" s="144" t="s">
        <v>1151</v>
      </c>
    </row>
    <row r="8" spans="1:6" x14ac:dyDescent="0.25">
      <c r="A8" s="355"/>
      <c r="B8" s="303"/>
      <c r="C8" s="357"/>
      <c r="D8" s="361"/>
      <c r="E8" s="148" t="s">
        <v>1149</v>
      </c>
      <c r="F8" s="145" t="s">
        <v>270</v>
      </c>
    </row>
    <row r="9" spans="1:6" x14ac:dyDescent="0.25">
      <c r="A9" s="355" t="s">
        <v>265</v>
      </c>
      <c r="B9" s="303" t="s">
        <v>1036</v>
      </c>
      <c r="C9" s="357" t="s">
        <v>1107</v>
      </c>
      <c r="D9" s="358">
        <v>0</v>
      </c>
      <c r="E9" s="129" t="s">
        <v>1093</v>
      </c>
      <c r="F9" s="108" t="s">
        <v>274</v>
      </c>
    </row>
    <row r="10" spans="1:6" x14ac:dyDescent="0.25">
      <c r="A10" s="355"/>
      <c r="B10" s="303"/>
      <c r="C10" s="357"/>
      <c r="D10" s="358"/>
      <c r="E10" s="130" t="s">
        <v>1108</v>
      </c>
      <c r="F10" s="109" t="s">
        <v>1109</v>
      </c>
    </row>
    <row r="11" spans="1:6" x14ac:dyDescent="0.25">
      <c r="A11" s="355"/>
      <c r="B11" s="303"/>
      <c r="C11" s="357"/>
      <c r="D11" s="358"/>
      <c r="E11" s="130" t="s">
        <v>1110</v>
      </c>
      <c r="F11" s="109" t="s">
        <v>763</v>
      </c>
    </row>
    <row r="12" spans="1:6" x14ac:dyDescent="0.25">
      <c r="A12" s="355"/>
      <c r="B12" s="303"/>
      <c r="C12" s="357"/>
      <c r="D12" s="358"/>
      <c r="E12" s="130" t="s">
        <v>1091</v>
      </c>
      <c r="F12" s="109" t="s">
        <v>272</v>
      </c>
    </row>
    <row r="13" spans="1:6" x14ac:dyDescent="0.25">
      <c r="A13" s="355"/>
      <c r="B13" s="303"/>
      <c r="C13" s="357"/>
      <c r="D13" s="358"/>
      <c r="E13" s="130" t="s">
        <v>1111</v>
      </c>
      <c r="F13" s="109" t="s">
        <v>1109</v>
      </c>
    </row>
    <row r="14" spans="1:6" x14ac:dyDescent="0.25">
      <c r="A14" s="355"/>
      <c r="B14" s="303"/>
      <c r="C14" s="357"/>
      <c r="D14" s="358"/>
      <c r="E14" s="131" t="s">
        <v>1112</v>
      </c>
      <c r="F14" s="110" t="s">
        <v>1062</v>
      </c>
    </row>
    <row r="15" spans="1:6" ht="25.5" customHeight="1" x14ac:dyDescent="0.25">
      <c r="A15" s="155" t="s">
        <v>179</v>
      </c>
      <c r="B15" s="156" t="s">
        <v>1069</v>
      </c>
      <c r="C15" s="151"/>
      <c r="D15" s="152"/>
      <c r="E15" s="132"/>
      <c r="F15" s="118"/>
    </row>
    <row r="16" spans="1:6" x14ac:dyDescent="0.25">
      <c r="A16" s="355" t="s">
        <v>266</v>
      </c>
      <c r="B16" s="303" t="s">
        <v>1036</v>
      </c>
      <c r="C16" s="357" t="s">
        <v>1113</v>
      </c>
      <c r="D16" s="358">
        <v>0</v>
      </c>
      <c r="E16" s="133" t="s">
        <v>1091</v>
      </c>
      <c r="F16" s="108" t="s">
        <v>1092</v>
      </c>
    </row>
    <row r="17" spans="1:6" ht="17.25" customHeight="1" x14ac:dyDescent="0.25">
      <c r="A17" s="355"/>
      <c r="B17" s="303"/>
      <c r="C17" s="357"/>
      <c r="D17" s="358"/>
      <c r="E17" s="130" t="s">
        <v>1093</v>
      </c>
      <c r="F17" s="109" t="s">
        <v>1094</v>
      </c>
    </row>
    <row r="18" spans="1:6" x14ac:dyDescent="0.25">
      <c r="A18" s="355"/>
      <c r="B18" s="303"/>
      <c r="C18" s="357"/>
      <c r="D18" s="358"/>
      <c r="E18" s="130" t="s">
        <v>1114</v>
      </c>
      <c r="F18" s="109" t="s">
        <v>423</v>
      </c>
    </row>
    <row r="19" spans="1:6" x14ac:dyDescent="0.25">
      <c r="A19" s="355"/>
      <c r="B19" s="303"/>
      <c r="C19" s="357"/>
      <c r="D19" s="358"/>
      <c r="E19" s="131" t="s">
        <v>1114</v>
      </c>
      <c r="F19" s="110" t="s">
        <v>1115</v>
      </c>
    </row>
    <row r="20" spans="1:6" x14ac:dyDescent="0.25">
      <c r="A20" s="155" t="s">
        <v>464</v>
      </c>
      <c r="B20" s="156" t="s">
        <v>1069</v>
      </c>
      <c r="C20" s="157"/>
      <c r="D20" s="158"/>
      <c r="E20" s="130"/>
      <c r="F20" s="142"/>
    </row>
    <row r="21" spans="1:6" x14ac:dyDescent="0.25">
      <c r="A21" s="155" t="s">
        <v>754</v>
      </c>
      <c r="B21" s="156" t="s">
        <v>1069</v>
      </c>
      <c r="C21" s="157"/>
      <c r="D21" s="158"/>
      <c r="E21" s="130"/>
      <c r="F21" s="142"/>
    </row>
    <row r="22" spans="1:6" x14ac:dyDescent="0.25">
      <c r="A22" s="155" t="s">
        <v>146</v>
      </c>
      <c r="B22" s="156" t="s">
        <v>1069</v>
      </c>
      <c r="C22" s="157"/>
      <c r="D22" s="158"/>
      <c r="E22" s="130"/>
      <c r="F22" s="142"/>
    </row>
    <row r="23" spans="1:6" x14ac:dyDescent="0.25">
      <c r="A23" s="155" t="s">
        <v>743</v>
      </c>
      <c r="B23" s="159" t="s">
        <v>1036</v>
      </c>
      <c r="C23" s="157" t="s">
        <v>743</v>
      </c>
      <c r="D23" s="153">
        <v>0</v>
      </c>
      <c r="E23" s="132" t="s">
        <v>1102</v>
      </c>
      <c r="F23" s="118" t="s">
        <v>1102</v>
      </c>
    </row>
    <row r="24" spans="1:6" x14ac:dyDescent="0.25">
      <c r="A24" s="155" t="s">
        <v>183</v>
      </c>
      <c r="B24" s="159" t="s">
        <v>1036</v>
      </c>
      <c r="C24" s="157" t="s">
        <v>1116</v>
      </c>
      <c r="D24" s="158">
        <v>0</v>
      </c>
      <c r="E24" s="132" t="s">
        <v>1102</v>
      </c>
      <c r="F24" s="118" t="s">
        <v>1102</v>
      </c>
    </row>
    <row r="25" spans="1:6" x14ac:dyDescent="0.25">
      <c r="A25" s="155" t="s">
        <v>184</v>
      </c>
      <c r="B25" s="159" t="s">
        <v>1036</v>
      </c>
      <c r="C25" s="157" t="s">
        <v>1117</v>
      </c>
      <c r="D25" s="158">
        <v>0</v>
      </c>
      <c r="E25" s="132" t="s">
        <v>1102</v>
      </c>
      <c r="F25" s="118" t="s">
        <v>1102</v>
      </c>
    </row>
    <row r="26" spans="1:6" ht="25.5" customHeight="1" x14ac:dyDescent="0.25">
      <c r="A26" s="355" t="s">
        <v>185</v>
      </c>
      <c r="B26" s="356" t="s">
        <v>1036</v>
      </c>
      <c r="C26" s="357" t="s">
        <v>1118</v>
      </c>
      <c r="D26" s="358">
        <v>0</v>
      </c>
      <c r="E26" s="129" t="s">
        <v>1093</v>
      </c>
      <c r="F26" s="108" t="s">
        <v>1119</v>
      </c>
    </row>
    <row r="27" spans="1:6" x14ac:dyDescent="0.25">
      <c r="A27" s="355"/>
      <c r="B27" s="356"/>
      <c r="C27" s="357"/>
      <c r="D27" s="358"/>
      <c r="E27" s="131" t="s">
        <v>1091</v>
      </c>
      <c r="F27" s="110" t="s">
        <v>1120</v>
      </c>
    </row>
    <row r="28" spans="1:6" x14ac:dyDescent="0.25">
      <c r="A28" s="355" t="s">
        <v>268</v>
      </c>
      <c r="B28" s="356" t="s">
        <v>1036</v>
      </c>
      <c r="C28" s="357" t="s">
        <v>1121</v>
      </c>
      <c r="D28" s="358">
        <v>0</v>
      </c>
      <c r="E28" s="133" t="s">
        <v>1122</v>
      </c>
      <c r="F28" s="108" t="s">
        <v>1170</v>
      </c>
    </row>
    <row r="29" spans="1:6" x14ac:dyDescent="0.25">
      <c r="A29" s="355"/>
      <c r="B29" s="356"/>
      <c r="C29" s="357"/>
      <c r="D29" s="358"/>
      <c r="E29" s="134" t="s">
        <v>1052</v>
      </c>
      <c r="F29" s="110" t="s">
        <v>1171</v>
      </c>
    </row>
    <row r="30" spans="1:6" x14ac:dyDescent="0.25">
      <c r="D30" s="63"/>
    </row>
    <row r="31" spans="1:6" x14ac:dyDescent="0.25">
      <c r="D31" s="63"/>
    </row>
    <row r="32" spans="1:6" x14ac:dyDescent="0.25">
      <c r="D32" s="63"/>
    </row>
    <row r="33" spans="4:4" x14ac:dyDescent="0.25">
      <c r="D33" s="63"/>
    </row>
    <row r="34" spans="4:4" x14ac:dyDescent="0.25">
      <c r="D34" s="63"/>
    </row>
    <row r="35" spans="4:4" x14ac:dyDescent="0.25">
      <c r="D35" s="63"/>
    </row>
    <row r="36" spans="4:4" x14ac:dyDescent="0.25">
      <c r="D36" s="63"/>
    </row>
    <row r="37" spans="4:4" x14ac:dyDescent="0.25">
      <c r="D37" s="63"/>
    </row>
    <row r="38" spans="4:4" x14ac:dyDescent="0.25">
      <c r="D38" s="63"/>
    </row>
    <row r="39" spans="4:4" x14ac:dyDescent="0.25">
      <c r="D39" s="63"/>
    </row>
    <row r="40" spans="4:4" x14ac:dyDescent="0.25">
      <c r="D40" s="63"/>
    </row>
    <row r="41" spans="4:4" x14ac:dyDescent="0.25">
      <c r="D41" s="63"/>
    </row>
    <row r="42" spans="4:4" x14ac:dyDescent="0.25">
      <c r="D42" s="63"/>
    </row>
    <row r="43" spans="4:4" x14ac:dyDescent="0.25">
      <c r="D43" s="63"/>
    </row>
    <row r="44" spans="4:4" x14ac:dyDescent="0.25">
      <c r="D44" s="63"/>
    </row>
    <row r="45" spans="4:4" x14ac:dyDescent="0.25">
      <c r="D45" s="63"/>
    </row>
    <row r="46" spans="4:4" x14ac:dyDescent="0.25">
      <c r="D46" s="63"/>
    </row>
    <row r="47" spans="4:4" x14ac:dyDescent="0.25">
      <c r="D47" s="63"/>
    </row>
    <row r="48" spans="4:4" x14ac:dyDescent="0.25">
      <c r="D48" s="63"/>
    </row>
    <row r="49" spans="4:4" x14ac:dyDescent="0.25">
      <c r="D49" s="63"/>
    </row>
    <row r="50" spans="4:4" x14ac:dyDescent="0.25">
      <c r="D50" s="63"/>
    </row>
    <row r="51" spans="4:4" x14ac:dyDescent="0.25">
      <c r="D51" s="63"/>
    </row>
    <row r="52" spans="4:4" x14ac:dyDescent="0.25">
      <c r="D52" s="63"/>
    </row>
    <row r="53" spans="4:4" x14ac:dyDescent="0.25">
      <c r="D53" s="63"/>
    </row>
    <row r="54" spans="4:4" x14ac:dyDescent="0.25">
      <c r="D54" s="63"/>
    </row>
    <row r="55" spans="4:4" x14ac:dyDescent="0.25">
      <c r="D55" s="63"/>
    </row>
    <row r="56" spans="4:4" x14ac:dyDescent="0.25">
      <c r="D56" s="63"/>
    </row>
    <row r="57" spans="4:4" x14ac:dyDescent="0.25">
      <c r="D57" s="63"/>
    </row>
    <row r="58" spans="4:4" x14ac:dyDescent="0.25">
      <c r="D58" s="63"/>
    </row>
    <row r="59" spans="4:4" x14ac:dyDescent="0.25">
      <c r="D59" s="63"/>
    </row>
    <row r="60" spans="4:4" x14ac:dyDescent="0.25">
      <c r="D60" s="63"/>
    </row>
    <row r="61" spans="4:4" x14ac:dyDescent="0.25">
      <c r="D61" s="63"/>
    </row>
    <row r="62" spans="4:4" x14ac:dyDescent="0.25">
      <c r="D62" s="63"/>
    </row>
    <row r="63" spans="4:4" x14ac:dyDescent="0.25">
      <c r="D63" s="63"/>
    </row>
    <row r="64" spans="4:4" x14ac:dyDescent="0.25">
      <c r="D64" s="63"/>
    </row>
    <row r="65" spans="4:4" x14ac:dyDescent="0.25">
      <c r="D65" s="63"/>
    </row>
    <row r="66" spans="4:4" x14ac:dyDescent="0.25">
      <c r="D66" s="63"/>
    </row>
    <row r="67" spans="4:4" x14ac:dyDescent="0.25">
      <c r="D67" s="63"/>
    </row>
    <row r="68" spans="4:4" x14ac:dyDescent="0.25">
      <c r="D68" s="63"/>
    </row>
    <row r="69" spans="4:4" x14ac:dyDescent="0.25">
      <c r="D69" s="63"/>
    </row>
    <row r="70" spans="4:4" x14ac:dyDescent="0.25">
      <c r="D70" s="63"/>
    </row>
    <row r="71" spans="4:4" x14ac:dyDescent="0.25">
      <c r="D71" s="63"/>
    </row>
    <row r="72" spans="4:4" x14ac:dyDescent="0.25">
      <c r="D72" s="63"/>
    </row>
    <row r="73" spans="4:4" x14ac:dyDescent="0.25">
      <c r="D73" s="63"/>
    </row>
    <row r="74" spans="4:4" x14ac:dyDescent="0.25">
      <c r="D74" s="63"/>
    </row>
    <row r="75" spans="4:4" x14ac:dyDescent="0.25">
      <c r="D75" s="63"/>
    </row>
    <row r="76" spans="4:4" x14ac:dyDescent="0.25">
      <c r="D76" s="63"/>
    </row>
    <row r="77" spans="4:4" x14ac:dyDescent="0.25">
      <c r="D77" s="63"/>
    </row>
    <row r="78" spans="4:4" x14ac:dyDescent="0.25">
      <c r="D78" s="63"/>
    </row>
    <row r="79" spans="4:4" x14ac:dyDescent="0.25">
      <c r="D79" s="63"/>
    </row>
    <row r="80" spans="4:4" x14ac:dyDescent="0.25">
      <c r="D80" s="63"/>
    </row>
    <row r="81" spans="4:4" x14ac:dyDescent="0.25">
      <c r="D81" s="63"/>
    </row>
    <row r="82" spans="4:4" x14ac:dyDescent="0.25">
      <c r="D82" s="63"/>
    </row>
  </sheetData>
  <mergeCells count="20">
    <mergeCell ref="A4:A8"/>
    <mergeCell ref="B4:B8"/>
    <mergeCell ref="C4:C8"/>
    <mergeCell ref="D4:D8"/>
    <mergeCell ref="A9:A14"/>
    <mergeCell ref="B9:B14"/>
    <mergeCell ref="C9:C14"/>
    <mergeCell ref="D9:D14"/>
    <mergeCell ref="A28:A29"/>
    <mergeCell ref="B28:B29"/>
    <mergeCell ref="C28:C29"/>
    <mergeCell ref="D28:D29"/>
    <mergeCell ref="A16:A19"/>
    <mergeCell ref="B16:B19"/>
    <mergeCell ref="C16:C19"/>
    <mergeCell ref="D16:D19"/>
    <mergeCell ref="A26:A27"/>
    <mergeCell ref="B26:B27"/>
    <mergeCell ref="C26:C27"/>
    <mergeCell ref="D26:D27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F8"/>
  <sheetViews>
    <sheetView workbookViewId="0"/>
  </sheetViews>
  <sheetFormatPr defaultColWidth="31.85546875" defaultRowHeight="15" x14ac:dyDescent="0.25"/>
  <cols>
    <col min="1" max="1" width="13.5703125" style="20" customWidth="1"/>
    <col min="2" max="2" width="25" style="20" bestFit="1" customWidth="1"/>
    <col min="3" max="3" width="31" style="20" customWidth="1"/>
    <col min="4" max="5" width="25.28515625" style="20" customWidth="1"/>
    <col min="6" max="6" width="17.85546875" style="20" customWidth="1"/>
    <col min="7" max="16384" width="31.85546875" style="20"/>
  </cols>
  <sheetData>
    <row r="1" spans="1:6" ht="18.75" x14ac:dyDescent="0.25">
      <c r="A1" s="19" t="s">
        <v>9</v>
      </c>
    </row>
    <row r="2" spans="1:6" x14ac:dyDescent="0.25">
      <c r="B2" s="21" t="s">
        <v>104</v>
      </c>
      <c r="C2" s="32" t="s">
        <v>50</v>
      </c>
    </row>
    <row r="3" spans="1:6" ht="25.5" x14ac:dyDescent="0.25">
      <c r="A3" s="21" t="s">
        <v>105</v>
      </c>
      <c r="B3" s="29" t="s">
        <v>126</v>
      </c>
      <c r="C3" s="29" t="s">
        <v>309</v>
      </c>
      <c r="D3" s="29" t="s">
        <v>307</v>
      </c>
      <c r="E3" s="29" t="s">
        <v>308</v>
      </c>
      <c r="F3" s="29" t="s">
        <v>310</v>
      </c>
    </row>
    <row r="4" spans="1:6" ht="25.5" x14ac:dyDescent="0.25">
      <c r="A4" s="21" t="s">
        <v>125</v>
      </c>
      <c r="B4" s="34" t="s">
        <v>126</v>
      </c>
      <c r="C4" s="30"/>
      <c r="D4" s="30"/>
      <c r="E4" s="30" t="s">
        <v>496</v>
      </c>
      <c r="F4" s="30" t="s">
        <v>497</v>
      </c>
    </row>
    <row r="5" spans="1:6" ht="140.25" x14ac:dyDescent="0.25">
      <c r="A5" s="28" t="s">
        <v>150</v>
      </c>
      <c r="B5" s="35" t="s">
        <v>1027</v>
      </c>
      <c r="C5" s="31" t="s">
        <v>499</v>
      </c>
      <c r="D5" s="68" t="s">
        <v>1005</v>
      </c>
      <c r="E5" s="68" t="s">
        <v>1005</v>
      </c>
      <c r="F5" s="31" t="s">
        <v>498</v>
      </c>
    </row>
    <row r="6" spans="1:6" s="23" customFormat="1" ht="11.25" hidden="1" x14ac:dyDescent="0.2">
      <c r="A6" s="22" t="s">
        <v>1001</v>
      </c>
      <c r="B6" s="76"/>
      <c r="C6" s="81"/>
      <c r="D6" s="81"/>
      <c r="E6" s="81"/>
      <c r="F6" s="77"/>
    </row>
    <row r="7" spans="1:6" s="23" customFormat="1" ht="11.25" x14ac:dyDescent="0.2">
      <c r="A7" s="22" t="s">
        <v>145</v>
      </c>
      <c r="B7" s="79" t="str">
        <f>C7&amp;"/"&amp;D7</f>
        <v>11/12345</v>
      </c>
      <c r="C7" s="88">
        <v>11</v>
      </c>
      <c r="D7" s="66">
        <v>12345</v>
      </c>
      <c r="E7" s="66">
        <v>12345</v>
      </c>
      <c r="F7" s="37" t="s">
        <v>757</v>
      </c>
    </row>
    <row r="8" spans="1:6" s="23" customFormat="1" ht="11.25" x14ac:dyDescent="0.2">
      <c r="A8" s="22" t="s">
        <v>145</v>
      </c>
      <c r="B8" s="82" t="str">
        <f>C8&amp;"/"&amp;D8</f>
        <v>7/23456</v>
      </c>
      <c r="C8" s="88">
        <v>7</v>
      </c>
      <c r="D8" s="66">
        <v>23456</v>
      </c>
      <c r="E8" s="66">
        <v>23456</v>
      </c>
      <c r="F8" s="37" t="s">
        <v>757</v>
      </c>
    </row>
  </sheetData>
  <conditionalFormatting sqref="A6:A7">
    <cfRule type="containsText" dxfId="362" priority="4" operator="containsText" text="ADD">
      <formula>NOT(ISERROR(SEARCH("ADD",A6)))</formula>
    </cfRule>
  </conditionalFormatting>
  <conditionalFormatting sqref="A6:A7">
    <cfRule type="containsText" dxfId="361" priority="1" operator="containsText" text="DELETE">
      <formula>NOT(ISERROR(SEARCH("DELETE",A6)))</formula>
    </cfRule>
    <cfRule type="containsText" dxfId="360" priority="2" operator="containsText" text="MODIFY">
      <formula>NOT(ISERROR(SEARCH("MODIFY",A6)))</formula>
    </cfRule>
    <cfRule type="containsText" dxfId="359" priority="3" operator="containsText" text="No ACTION">
      <formula>NOT(ISERROR(SEARCH("No ACTION",A6)))</formula>
    </cfRule>
  </conditionalFormatting>
  <conditionalFormatting sqref="A8">
    <cfRule type="containsText" dxfId="358" priority="8" operator="containsText" text="ADD">
      <formula>NOT(ISERROR(SEARCH("ADD",A8)))</formula>
    </cfRule>
  </conditionalFormatting>
  <conditionalFormatting sqref="A8">
    <cfRule type="containsText" dxfId="357" priority="5" operator="containsText" text="DELETE">
      <formula>NOT(ISERROR(SEARCH("DELETE",A8)))</formula>
    </cfRule>
    <cfRule type="containsText" dxfId="356" priority="6" operator="containsText" text="MODIFY">
      <formula>NOT(ISERROR(SEARCH("MODIFY",A8)))</formula>
    </cfRule>
    <cfRule type="containsText" dxfId="355" priority="7" operator="containsText" text="No ACTION">
      <formula>NOT(ISERROR(SEARCH("No ACTION",A8)))</formula>
    </cfRule>
  </conditionalFormatting>
  <dataValidations count="4">
    <dataValidation type="list" showInputMessage="1" showErrorMessage="1" sqref="A6:A8">
      <formula1>"ADD,MODIFY,DELETE,NO ACTION"</formula1>
    </dataValidation>
    <dataValidation type="list" allowBlank="1" showInputMessage="1" showErrorMessage="1" sqref="F6:F8">
      <formula1>"international, unknown"</formula1>
    </dataValidation>
    <dataValidation type="list" allowBlank="1" showInputMessage="1" showErrorMessage="1" sqref="C6:C8">
      <formula1>"0,1,2,3,4,5,6,7,8,9,10,11"</formula1>
    </dataValidation>
    <dataValidation type="textLength" allowBlank="1" showInputMessage="1" showErrorMessage="1" error=" Length Range: 1..15" sqref="D6:E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Z43"/>
  <sheetViews>
    <sheetView topLeftCell="A2" workbookViewId="0">
      <pane ySplit="4" topLeftCell="A26" activePane="bottomLeft" state="frozen"/>
      <selection activeCell="A2" sqref="A2"/>
      <selection pane="bottomLeft" activeCell="E43" sqref="E43"/>
    </sheetView>
  </sheetViews>
  <sheetFormatPr defaultColWidth="31.85546875" defaultRowHeight="15" x14ac:dyDescent="0.25"/>
  <cols>
    <col min="1" max="1" width="13.5703125" style="20" customWidth="1"/>
    <col min="2" max="2" width="10.5703125" style="20" customWidth="1"/>
    <col min="3" max="3" width="27.42578125" style="20" bestFit="1" customWidth="1"/>
    <col min="4" max="4" width="9" style="20" bestFit="1" customWidth="1"/>
    <col min="5" max="5" width="34.5703125" style="20" bestFit="1" customWidth="1"/>
    <col min="6" max="6" width="12.42578125" style="20" bestFit="1" customWidth="1"/>
    <col min="7" max="7" width="13.5703125" style="20" bestFit="1" customWidth="1"/>
    <col min="8" max="8" width="18.42578125" style="20" bestFit="1" customWidth="1"/>
    <col min="9" max="9" width="11.28515625" style="20" bestFit="1" customWidth="1"/>
    <col min="10" max="10" width="30.140625" style="20" bestFit="1" customWidth="1"/>
    <col min="11" max="11" width="24.140625" style="20" bestFit="1" customWidth="1"/>
    <col min="12" max="12" width="18.140625" style="20" bestFit="1" customWidth="1"/>
    <col min="13" max="13" width="21.85546875" style="20" bestFit="1" customWidth="1"/>
    <col min="14" max="14" width="23.85546875" style="20" bestFit="1" customWidth="1"/>
    <col min="15" max="15" width="35.5703125" style="20" bestFit="1" customWidth="1"/>
    <col min="16" max="16" width="33.5703125" style="20" customWidth="1"/>
    <col min="17" max="17" width="16.42578125" style="20" bestFit="1" customWidth="1"/>
    <col min="18" max="18" width="15.42578125" style="20" bestFit="1" customWidth="1"/>
    <col min="19" max="19" width="22.140625" style="20" bestFit="1" customWidth="1"/>
    <col min="20" max="20" width="18.28515625" style="20" bestFit="1" customWidth="1"/>
    <col min="21" max="21" width="25.140625" style="20" bestFit="1" customWidth="1"/>
    <col min="22" max="22" width="25.5703125" style="20" bestFit="1" customWidth="1"/>
    <col min="23" max="23" width="36.5703125" style="20" bestFit="1" customWidth="1"/>
    <col min="24" max="24" width="34.5703125" style="20" customWidth="1"/>
    <col min="25" max="25" width="23.5703125" style="20" bestFit="1" customWidth="1"/>
    <col min="26" max="26" width="21.42578125" style="20" bestFit="1" customWidth="1"/>
    <col min="27" max="16384" width="31.85546875" style="20"/>
  </cols>
  <sheetData>
    <row r="1" spans="1:26" ht="18.75" x14ac:dyDescent="0.25">
      <c r="A1" s="19" t="s">
        <v>9</v>
      </c>
    </row>
    <row r="2" spans="1:26" ht="25.5" x14ac:dyDescent="0.25">
      <c r="B2" s="21" t="s">
        <v>104</v>
      </c>
      <c r="C2" s="32" t="s">
        <v>23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  <c r="J2" s="200" t="s">
        <v>1311</v>
      </c>
      <c r="K2" s="32" t="s">
        <v>1312</v>
      </c>
      <c r="L2" s="200" t="s">
        <v>1313</v>
      </c>
      <c r="M2" s="32" t="s">
        <v>1314</v>
      </c>
    </row>
    <row r="3" spans="1:26" ht="25.5" x14ac:dyDescent="0.25">
      <c r="A3" s="21" t="s">
        <v>105</v>
      </c>
      <c r="B3" s="29" t="s">
        <v>189</v>
      </c>
      <c r="C3" s="29" t="s">
        <v>275</v>
      </c>
      <c r="D3" s="29" t="s">
        <v>191</v>
      </c>
      <c r="E3" s="29" t="s">
        <v>192</v>
      </c>
      <c r="F3" s="29" t="s">
        <v>276</v>
      </c>
      <c r="G3" s="29" t="s">
        <v>190</v>
      </c>
      <c r="H3" s="29" t="s">
        <v>277</v>
      </c>
      <c r="I3" s="29" t="s">
        <v>203</v>
      </c>
      <c r="J3" s="29" t="s">
        <v>503</v>
      </c>
      <c r="K3" s="29" t="s">
        <v>193</v>
      </c>
      <c r="L3" s="29" t="s">
        <v>194</v>
      </c>
      <c r="M3" s="29" t="s">
        <v>195</v>
      </c>
      <c r="N3" s="29" t="s">
        <v>196</v>
      </c>
      <c r="O3" s="29" t="s">
        <v>278</v>
      </c>
      <c r="P3" s="29" t="s">
        <v>279</v>
      </c>
      <c r="Q3" s="29" t="s">
        <v>199</v>
      </c>
      <c r="R3" s="29" t="s">
        <v>200</v>
      </c>
      <c r="S3" s="29" t="s">
        <v>201</v>
      </c>
      <c r="T3" s="29" t="s">
        <v>202</v>
      </c>
      <c r="U3" s="29" t="s">
        <v>197</v>
      </c>
      <c r="V3" s="29" t="s">
        <v>198</v>
      </c>
      <c r="W3" s="29" t="s">
        <v>280</v>
      </c>
      <c r="X3" s="29" t="s">
        <v>281</v>
      </c>
      <c r="Y3" s="29" t="s">
        <v>282</v>
      </c>
      <c r="Z3" s="29" t="s">
        <v>283</v>
      </c>
    </row>
    <row r="4" spans="1:26" ht="25.5" x14ac:dyDescent="0.25">
      <c r="A4" s="21" t="s">
        <v>125</v>
      </c>
      <c r="B4" s="30" t="s">
        <v>126</v>
      </c>
      <c r="C4" s="30" t="s">
        <v>208</v>
      </c>
      <c r="D4" s="30" t="s">
        <v>205</v>
      </c>
      <c r="E4" s="30" t="s">
        <v>207</v>
      </c>
      <c r="F4" s="30" t="s">
        <v>284</v>
      </c>
      <c r="G4" s="30" t="s">
        <v>204</v>
      </c>
      <c r="H4" s="30" t="s">
        <v>206</v>
      </c>
      <c r="I4" s="30" t="s">
        <v>225</v>
      </c>
      <c r="J4" s="30" t="s">
        <v>209</v>
      </c>
      <c r="K4" s="30" t="s">
        <v>210</v>
      </c>
      <c r="L4" s="30" t="s">
        <v>212</v>
      </c>
      <c r="M4" s="30" t="s">
        <v>213</v>
      </c>
      <c r="N4" s="30" t="s">
        <v>214</v>
      </c>
      <c r="O4" s="30" t="s">
        <v>218</v>
      </c>
      <c r="P4" s="30" t="s">
        <v>219</v>
      </c>
      <c r="Q4" s="30" t="s">
        <v>221</v>
      </c>
      <c r="R4" s="30" t="s">
        <v>222</v>
      </c>
      <c r="S4" s="30" t="s">
        <v>223</v>
      </c>
      <c r="T4" s="30" t="s">
        <v>224</v>
      </c>
      <c r="U4" s="30" t="s">
        <v>215</v>
      </c>
      <c r="V4" s="30" t="s">
        <v>216</v>
      </c>
      <c r="W4" s="30" t="s">
        <v>217</v>
      </c>
      <c r="X4" s="30" t="s">
        <v>220</v>
      </c>
      <c r="Y4" s="30" t="s">
        <v>285</v>
      </c>
      <c r="Z4" s="30" t="s">
        <v>211</v>
      </c>
    </row>
    <row r="5" spans="1:26" s="64" customFormat="1" ht="255" hidden="1" x14ac:dyDescent="0.25">
      <c r="A5" s="197" t="s">
        <v>150</v>
      </c>
      <c r="B5" s="198" t="s">
        <v>171</v>
      </c>
      <c r="C5" s="199" t="s">
        <v>1293</v>
      </c>
      <c r="D5" s="199" t="s">
        <v>1294</v>
      </c>
      <c r="E5" s="199" t="s">
        <v>1295</v>
      </c>
      <c r="F5" s="199" t="s">
        <v>1296</v>
      </c>
      <c r="G5" s="199" t="s">
        <v>1297</v>
      </c>
      <c r="H5" s="68" t="s">
        <v>1298</v>
      </c>
      <c r="I5" s="199" t="s">
        <v>1299</v>
      </c>
      <c r="J5" s="199" t="s">
        <v>1131</v>
      </c>
      <c r="K5" s="199" t="s">
        <v>1300</v>
      </c>
      <c r="L5" s="199" t="s">
        <v>1301</v>
      </c>
      <c r="M5" s="199" t="s">
        <v>1302</v>
      </c>
      <c r="N5" s="199" t="s">
        <v>1302</v>
      </c>
      <c r="O5" s="199" t="s">
        <v>1303</v>
      </c>
      <c r="P5" s="199" t="s">
        <v>1303</v>
      </c>
      <c r="Q5" s="199" t="s">
        <v>1304</v>
      </c>
      <c r="R5" s="199" t="s">
        <v>1305</v>
      </c>
      <c r="S5" s="199" t="s">
        <v>1306</v>
      </c>
      <c r="T5" s="199" t="s">
        <v>1307</v>
      </c>
      <c r="U5" s="199" t="s">
        <v>1302</v>
      </c>
      <c r="V5" s="199" t="s">
        <v>1308</v>
      </c>
      <c r="W5" s="199" t="s">
        <v>1309</v>
      </c>
      <c r="X5" s="199" t="s">
        <v>1303</v>
      </c>
      <c r="Y5" s="199" t="s">
        <v>1131</v>
      </c>
      <c r="Z5" s="199" t="s">
        <v>1310</v>
      </c>
    </row>
    <row r="6" spans="1:26" s="23" customFormat="1" ht="11.25" hidden="1" x14ac:dyDescent="0.2">
      <c r="A6" s="22" t="s">
        <v>1001</v>
      </c>
      <c r="B6" s="76"/>
      <c r="C6" s="77"/>
      <c r="D6" s="77"/>
      <c r="E6" s="77"/>
      <c r="F6" s="77"/>
      <c r="G6" s="77"/>
      <c r="H6" s="77"/>
      <c r="I6" s="77"/>
      <c r="J6" s="83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</row>
    <row r="7" spans="1:26" s="64" customFormat="1" x14ac:dyDescent="0.25">
      <c r="Y7" s="38"/>
    </row>
    <row r="8" spans="1:26" s="64" customFormat="1" x14ac:dyDescent="0.25">
      <c r="Y8" s="38"/>
    </row>
    <row r="9" spans="1:26" x14ac:dyDescent="0.25">
      <c r="Y9" s="38"/>
    </row>
    <row r="10" spans="1:26" x14ac:dyDescent="0.25">
      <c r="Y10" s="38"/>
    </row>
    <row r="11" spans="1:26" x14ac:dyDescent="0.25">
      <c r="Y11" s="38"/>
    </row>
    <row r="12" spans="1:26" x14ac:dyDescent="0.25">
      <c r="Y12" s="38"/>
    </row>
    <row r="13" spans="1:26" x14ac:dyDescent="0.25">
      <c r="Y13" s="38"/>
    </row>
    <row r="14" spans="1:26" x14ac:dyDescent="0.25">
      <c r="Y14" s="38"/>
    </row>
    <row r="15" spans="1:26" x14ac:dyDescent="0.25">
      <c r="Y15" s="38"/>
    </row>
    <row r="16" spans="1:26" x14ac:dyDescent="0.25">
      <c r="Y16" s="38"/>
    </row>
    <row r="17" spans="25:25" x14ac:dyDescent="0.25">
      <c r="Y17" s="38"/>
    </row>
    <row r="18" spans="25:25" x14ac:dyDescent="0.25">
      <c r="Y18" s="38"/>
    </row>
    <row r="19" spans="25:25" x14ac:dyDescent="0.25">
      <c r="Y19" s="38"/>
    </row>
    <row r="20" spans="25:25" x14ac:dyDescent="0.25">
      <c r="Y20" s="38"/>
    </row>
    <row r="21" spans="25:25" x14ac:dyDescent="0.25">
      <c r="Y21" s="38"/>
    </row>
    <row r="22" spans="25:25" x14ac:dyDescent="0.25">
      <c r="Y22" s="38"/>
    </row>
    <row r="23" spans="25:25" x14ac:dyDescent="0.25">
      <c r="Y23" s="38"/>
    </row>
    <row r="24" spans="25:25" x14ac:dyDescent="0.25">
      <c r="Y24" s="38"/>
    </row>
    <row r="25" spans="25:25" x14ac:dyDescent="0.25">
      <c r="Y25" s="38"/>
    </row>
    <row r="26" spans="25:25" x14ac:dyDescent="0.25">
      <c r="Y26" s="38"/>
    </row>
    <row r="27" spans="25:25" x14ac:dyDescent="0.25">
      <c r="Y27" s="38"/>
    </row>
    <row r="28" spans="25:25" x14ac:dyDescent="0.25">
      <c r="Y28" s="38"/>
    </row>
    <row r="29" spans="25:25" x14ac:dyDescent="0.25">
      <c r="Y29" s="38"/>
    </row>
    <row r="30" spans="25:25" x14ac:dyDescent="0.25">
      <c r="Y30" s="38"/>
    </row>
    <row r="31" spans="25:25" x14ac:dyDescent="0.25">
      <c r="Y31" s="38"/>
    </row>
    <row r="32" spans="25:25" x14ac:dyDescent="0.25">
      <c r="Y32" s="38"/>
    </row>
    <row r="33" spans="25:25" x14ac:dyDescent="0.25">
      <c r="Y33" s="38"/>
    </row>
    <row r="34" spans="25:25" x14ac:dyDescent="0.25">
      <c r="Y34" s="38"/>
    </row>
    <row r="35" spans="25:25" x14ac:dyDescent="0.25">
      <c r="Y35" s="38"/>
    </row>
    <row r="36" spans="25:25" x14ac:dyDescent="0.25">
      <c r="Y36" s="38"/>
    </row>
    <row r="37" spans="25:25" x14ac:dyDescent="0.25">
      <c r="Y37" s="38"/>
    </row>
    <row r="38" spans="25:25" x14ac:dyDescent="0.25">
      <c r="Y38" s="38"/>
    </row>
    <row r="39" spans="25:25" x14ac:dyDescent="0.25">
      <c r="Y39" s="38"/>
    </row>
    <row r="40" spans="25:25" x14ac:dyDescent="0.25">
      <c r="Y40" s="38"/>
    </row>
    <row r="41" spans="25:25" x14ac:dyDescent="0.25">
      <c r="Y41" s="38"/>
    </row>
    <row r="42" spans="25:25" x14ac:dyDescent="0.25">
      <c r="Y42" s="38"/>
    </row>
    <row r="43" spans="25:25" x14ac:dyDescent="0.25">
      <c r="Y43" s="38"/>
    </row>
  </sheetData>
  <dataConsolidate link="1"/>
  <conditionalFormatting sqref="A6">
    <cfRule type="containsText" dxfId="354" priority="8" operator="containsText" text="ADD">
      <formula>NOT(ISERROR(SEARCH("ADD",A6)))</formula>
    </cfRule>
  </conditionalFormatting>
  <conditionalFormatting sqref="A6">
    <cfRule type="containsText" dxfId="353" priority="5" operator="containsText" text="DELETE">
      <formula>NOT(ISERROR(SEARCH("DELETE",A6)))</formula>
    </cfRule>
    <cfRule type="containsText" dxfId="352" priority="6" operator="containsText" text="MODIFY">
      <formula>NOT(ISERROR(SEARCH("MODIFY",A6)))</formula>
    </cfRule>
    <cfRule type="containsText" dxfId="351" priority="7" operator="containsText" text="No ACTION">
      <formula>NOT(ISERROR(SEARCH("No ACTION",A6)))</formula>
    </cfRule>
  </conditionalFormatting>
  <dataValidations count="17">
    <dataValidation type="list" allowBlank="1" showInputMessage="1" showErrorMessage="1" sqref="Z6:Z8">
      <formula1>"unknown, speech"</formula1>
    </dataValidation>
    <dataValidation type="list" allowBlank="1" showInputMessage="1" showErrorMessage="1" sqref="Y6:Y8">
      <formula1>"true, false"</formula1>
    </dataValidation>
    <dataValidation type="list" allowBlank="1" showInputMessage="1" showErrorMessage="1" sqref="T6:T8">
      <formula1>"priority1, priority2, priority3"</formula1>
    </dataValidation>
    <dataValidation type="list" allowBlank="1" showInputMessage="1" showErrorMessage="1" sqref="R6:R8">
      <formula1>"7Exp-3, 1Exp-1, 1Exp-2, 1Exp-3, 1Exp-4, 1Exp-5, 1Exp-6"</formula1>
    </dataValidation>
    <dataValidation type="list" allowBlank="1" showInputMessage="1" showErrorMessage="1" sqref="Q6:Q8">
      <formula1>"5Exp-2, 5Exp-3, 4Exp-3, 6Exp-8, 1Exp-2, 1Exp-3, 1Exp-4, 1Exp-5, 1Exp-6"</formula1>
    </dataValidation>
    <dataValidation type="list" allowBlank="1" showInputMessage="1" showErrorMessage="1" sqref="K6:K8">
      <formula1>"notDetected, delivered, notDelivered"</formula1>
    </dataValidation>
    <dataValidation type="list" allowBlank="1" showInputMessage="1" showErrorMessage="1" sqref="I6:I8">
      <formula1>"conversational, streaming, interactive, background"</formula1>
    </dataValidation>
    <dataValidation type="list" allowBlank="1" showInputMessage="1" showErrorMessage="1" sqref="H6:H8">
      <formula1>"0.22, 0.44, 1.11, 2.2, 4.4, 11, 22, 44, 111, 222, 444, 1k, 2k, 4k, 11k, 22k, 44k, 111k, bestEffort"</formula1>
    </dataValidation>
    <dataValidation type="list" allowBlank="1" showInputMessage="1" showErrorMessage="1" sqref="G6:G8">
      <formula1>"high, normal, low"</formula1>
    </dataValidation>
    <dataValidation type="list" allowBlank="1" showInputMessage="1" showErrorMessage="1" sqref="D6:D8">
      <formula1>"low, normal, high, bestEffort"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E6:E8">
      <formula1>"nonRealTimeCanNotCopeWithDataLoss, nonRealTimeCanCopeWithInfrequentDataLoss, nonRealTimeCanCopeWithDataLoss, realTimeErrorSensitive, realTimeErrorNonSensitive"</formula1>
    </dataValidation>
    <dataValidation type="list" allowBlank="1" showInputMessage="1" showErrorMessage="1" sqref="F6:F8">
      <formula1>"8, 16, 32 ,64, 128, 256, 512, 1024, 2048"</formula1>
    </dataValidation>
    <dataValidation type="list" allowBlank="1" showInputMessage="1" showErrorMessage="1" sqref="J6:J8">
      <formula1>"true,false"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list" allowBlank="1" showInputMessage="1" showErrorMessage="1" sqref="M2">
      <formula1>"Active,Inactive"</formula1>
    </dataValidation>
    <dataValidation type="list" showInputMessage="1" showErrorMessage="1" sqref="K2">
      <formula1>"Active,Inactive"</formula1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I8"/>
  <sheetViews>
    <sheetView topLeftCell="B1" workbookViewId="0">
      <pane ySplit="5" topLeftCell="A6" activePane="bottomLeft" state="frozen"/>
      <selection pane="bottomLeft" activeCell="B6" sqref="A6:XFD6"/>
    </sheetView>
  </sheetViews>
  <sheetFormatPr defaultRowHeight="15" x14ac:dyDescent="0.25"/>
  <cols>
    <col min="1" max="1" width="13.5703125" style="20" customWidth="1"/>
    <col min="2" max="2" width="10.5703125" style="20" customWidth="1"/>
    <col min="3" max="3" width="27.42578125" style="20" customWidth="1"/>
    <col min="4" max="5" width="12.5703125" style="20" customWidth="1"/>
    <col min="6" max="6" width="16" style="20" bestFit="1" customWidth="1"/>
    <col min="7" max="7" width="16.42578125" style="20" bestFit="1" customWidth="1"/>
  </cols>
  <sheetData>
    <row r="1" spans="1:9" ht="18.75" x14ac:dyDescent="0.25">
      <c r="A1" s="19" t="s">
        <v>9</v>
      </c>
    </row>
    <row r="2" spans="1:9" s="24" customFormat="1" ht="25.5" x14ac:dyDescent="0.25">
      <c r="A2" s="20"/>
      <c r="B2" s="21" t="s">
        <v>104</v>
      </c>
      <c r="C2" s="32" t="s">
        <v>53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</row>
    <row r="3" spans="1:9" s="24" customFormat="1" ht="25.5" x14ac:dyDescent="0.25">
      <c r="A3" s="21" t="s">
        <v>105</v>
      </c>
      <c r="B3" s="29" t="s">
        <v>186</v>
      </c>
      <c r="C3" s="29" t="s">
        <v>187</v>
      </c>
      <c r="D3" s="29" t="s">
        <v>188</v>
      </c>
      <c r="E3" s="29" t="s">
        <v>511</v>
      </c>
      <c r="F3" s="29" t="s">
        <v>512</v>
      </c>
      <c r="G3" s="29" t="s">
        <v>513</v>
      </c>
    </row>
    <row r="4" spans="1:9" ht="21.75" customHeight="1" x14ac:dyDescent="0.25">
      <c r="A4" s="21" t="s">
        <v>125</v>
      </c>
      <c r="B4" s="30" t="s">
        <v>126</v>
      </c>
      <c r="C4" s="30" t="s">
        <v>504</v>
      </c>
      <c r="D4" s="30" t="s">
        <v>505</v>
      </c>
      <c r="E4" s="30" t="s">
        <v>507</v>
      </c>
      <c r="F4" s="30" t="s">
        <v>509</v>
      </c>
      <c r="G4" s="30" t="s">
        <v>510</v>
      </c>
    </row>
    <row r="5" spans="1:9" ht="30.75" hidden="1" customHeight="1" x14ac:dyDescent="0.25">
      <c r="A5" s="28" t="s">
        <v>150</v>
      </c>
      <c r="B5" s="67" t="s">
        <v>560</v>
      </c>
      <c r="C5" s="68" t="s">
        <v>1131</v>
      </c>
      <c r="D5" s="68" t="s">
        <v>1007</v>
      </c>
      <c r="E5" s="68" t="s">
        <v>508</v>
      </c>
      <c r="F5" s="68" t="s">
        <v>506</v>
      </c>
      <c r="G5" s="68" t="s">
        <v>506</v>
      </c>
    </row>
    <row r="6" spans="1:9" ht="16.5" hidden="1" customHeight="1" x14ac:dyDescent="0.25">
      <c r="A6" s="22" t="s">
        <v>1001</v>
      </c>
      <c r="B6" s="76" t="s">
        <v>947</v>
      </c>
      <c r="C6" s="83"/>
      <c r="D6" s="81">
        <v>1234</v>
      </c>
      <c r="E6" s="81">
        <v>3</v>
      </c>
      <c r="F6" s="83"/>
      <c r="G6" s="83"/>
    </row>
    <row r="7" spans="1:9" s="63" customFormat="1" x14ac:dyDescent="0.25">
      <c r="A7" s="64"/>
      <c r="B7" s="64"/>
      <c r="C7" s="64"/>
      <c r="D7" s="64"/>
      <c r="E7" s="64"/>
      <c r="F7" s="64"/>
      <c r="G7" s="64"/>
    </row>
    <row r="8" spans="1:9" s="63" customFormat="1" x14ac:dyDescent="0.25">
      <c r="A8" s="64"/>
      <c r="B8" s="64"/>
      <c r="C8" s="64"/>
      <c r="D8" s="64"/>
      <c r="E8" s="64"/>
      <c r="F8" s="64"/>
      <c r="G8" s="64"/>
    </row>
  </sheetData>
  <conditionalFormatting sqref="A6">
    <cfRule type="containsText" dxfId="350" priority="7" operator="containsText" text="DELETE">
      <formula>NOT(ISERROR(SEARCH("DELETE",A6)))</formula>
    </cfRule>
    <cfRule type="containsText" dxfId="349" priority="8" operator="containsText" text="MODIFY">
      <formula>NOT(ISERROR(SEARCH("MODIFY",A6)))</formula>
    </cfRule>
    <cfRule type="containsText" dxfId="348" priority="9" operator="containsText" text="No ACTION">
      <formula>NOT(ISERROR(SEARCH("No ACTION",A6)))</formula>
    </cfRule>
  </conditionalFormatting>
  <conditionalFormatting sqref="A6">
    <cfRule type="containsText" dxfId="347" priority="10" operator="containsText" text="ADD">
      <formula>NOT(ISERROR(SEARCH("ADD",A6)))</formula>
    </cfRule>
  </conditionalFormatting>
  <conditionalFormatting sqref="C6">
    <cfRule type="expression" dxfId="346" priority="6">
      <formula>E6&lt;&gt;""</formula>
    </cfRule>
  </conditionalFormatting>
  <conditionalFormatting sqref="G6">
    <cfRule type="expression" dxfId="345" priority="2">
      <formula>E6&lt;&gt;""</formula>
    </cfRule>
  </conditionalFormatting>
  <conditionalFormatting sqref="F6">
    <cfRule type="expression" dxfId="344" priority="1">
      <formula>E6&lt;&gt;""</formula>
    </cfRule>
  </conditionalFormatting>
  <dataValidations count="4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"true,false"</formula1>
    </dataValidation>
    <dataValidation type="textLength" allowBlank="1" showInputMessage="1" showErrorMessage="1" error="String:_x000a_1..10_x000a_characters" sqref="B6:B8">
      <formula1>0</formula1>
      <formula2>8</formula2>
    </dataValidation>
    <dataValidation type="textLength" allowBlank="1" showInputMessage="1" showErrorMessage="1" error=" Length Range: 1..15" sqref="D6:D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71"/>
  <sheetViews>
    <sheetView workbookViewId="0">
      <pane ySplit="2" topLeftCell="A3" activePane="bottomLeft" state="frozen"/>
      <selection activeCell="A56" sqref="A56:F56"/>
      <selection pane="bottomLeft" activeCell="C7" sqref="C7"/>
    </sheetView>
  </sheetViews>
  <sheetFormatPr defaultColWidth="8.85546875" defaultRowHeight="12.75" x14ac:dyDescent="0.25"/>
  <cols>
    <col min="1" max="1" width="23.7109375" style="213" customWidth="1"/>
    <col min="2" max="2" width="8.85546875" style="213"/>
    <col min="3" max="3" width="24.85546875" style="169" bestFit="1" customWidth="1"/>
    <col min="4" max="4" width="8.85546875" style="213"/>
    <col min="5" max="5" width="15.28515625" style="169" customWidth="1"/>
    <col min="6" max="6" width="19.42578125" style="169" bestFit="1" customWidth="1"/>
    <col min="7" max="7" width="8.85546875" style="169"/>
    <col min="8" max="8" width="61.28515625" style="169" customWidth="1"/>
    <col min="9" max="16384" width="8.85546875" style="169"/>
  </cols>
  <sheetData>
    <row r="1" spans="1:6" ht="25.5" x14ac:dyDescent="0.25">
      <c r="A1" s="205" t="s">
        <v>1028</v>
      </c>
      <c r="B1" s="127" t="s">
        <v>53</v>
      </c>
      <c r="C1" s="166" t="s">
        <v>1172</v>
      </c>
      <c r="D1" s="206"/>
    </row>
    <row r="2" spans="1:6" ht="25.5" x14ac:dyDescent="0.25">
      <c r="A2" s="207" t="s">
        <v>1030</v>
      </c>
      <c r="B2" s="207" t="s">
        <v>1031</v>
      </c>
      <c r="C2" s="170" t="s">
        <v>1032</v>
      </c>
      <c r="D2" s="207" t="s">
        <v>1033</v>
      </c>
      <c r="E2" s="170" t="s">
        <v>1034</v>
      </c>
      <c r="F2" s="170" t="s">
        <v>1035</v>
      </c>
    </row>
    <row r="3" spans="1:6" x14ac:dyDescent="0.25">
      <c r="A3" s="208" t="s">
        <v>126</v>
      </c>
      <c r="B3" s="187" t="s">
        <v>1036</v>
      </c>
      <c r="C3" s="209" t="s">
        <v>1324</v>
      </c>
      <c r="D3" s="187" t="s">
        <v>1070</v>
      </c>
      <c r="E3" s="210" t="s">
        <v>1102</v>
      </c>
      <c r="F3" s="108" t="s">
        <v>1102</v>
      </c>
    </row>
    <row r="4" spans="1:6" x14ac:dyDescent="0.25">
      <c r="A4" s="362" t="s">
        <v>504</v>
      </c>
      <c r="B4" s="364" t="s">
        <v>1036</v>
      </c>
      <c r="C4" s="366" t="s">
        <v>1325</v>
      </c>
      <c r="D4" s="368" t="s">
        <v>1070</v>
      </c>
      <c r="E4" s="211" t="s">
        <v>1326</v>
      </c>
      <c r="F4" s="100" t="s">
        <v>1327</v>
      </c>
    </row>
    <row r="5" spans="1:6" x14ac:dyDescent="0.25">
      <c r="A5" s="363"/>
      <c r="B5" s="365"/>
      <c r="C5" s="367"/>
      <c r="D5" s="369"/>
      <c r="E5" s="212" t="s">
        <v>1328</v>
      </c>
      <c r="F5" s="102" t="s">
        <v>1327</v>
      </c>
    </row>
    <row r="6" spans="1:6" x14ac:dyDescent="0.25">
      <c r="A6" s="208" t="s">
        <v>505</v>
      </c>
      <c r="B6" s="187" t="s">
        <v>1036</v>
      </c>
      <c r="C6" s="209" t="s">
        <v>1329</v>
      </c>
      <c r="D6" s="187" t="s">
        <v>1070</v>
      </c>
      <c r="E6" s="210" t="s">
        <v>1102</v>
      </c>
      <c r="F6" s="108" t="s">
        <v>1247</v>
      </c>
    </row>
    <row r="7" spans="1:6" x14ac:dyDescent="0.25">
      <c r="A7" s="208" t="s">
        <v>507</v>
      </c>
      <c r="B7" s="187" t="s">
        <v>1069</v>
      </c>
      <c r="C7" s="209"/>
      <c r="D7" s="187"/>
      <c r="E7" s="210"/>
      <c r="F7" s="108"/>
    </row>
    <row r="8" spans="1:6" x14ac:dyDescent="0.25">
      <c r="A8" s="208" t="s">
        <v>509</v>
      </c>
      <c r="B8" s="187" t="s">
        <v>1069</v>
      </c>
      <c r="C8" s="209"/>
      <c r="D8" s="187"/>
      <c r="E8" s="210"/>
      <c r="F8" s="108"/>
    </row>
    <row r="9" spans="1:6" x14ac:dyDescent="0.25">
      <c r="A9" s="208" t="s">
        <v>510</v>
      </c>
      <c r="B9" s="187" t="s">
        <v>1069</v>
      </c>
      <c r="C9" s="209"/>
      <c r="D9" s="187"/>
      <c r="E9" s="210"/>
      <c r="F9" s="108"/>
    </row>
    <row r="17" spans="1:1" x14ac:dyDescent="0.25"/>
    <row r="57" spans="3:6" x14ac:dyDescent="0.25"/>
    <row r="62" spans="3:6" x14ac:dyDescent="0.25"/>
    <row r="71" spans="3:3" x14ac:dyDescent="0.25"/>
  </sheetData>
  <mergeCells count="4">
    <mergeCell ref="A4:A5"/>
    <mergeCell ref="B4:B5"/>
    <mergeCell ref="C4:C5"/>
    <mergeCell ref="D4:D5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C11"/>
  <sheetViews>
    <sheetView workbookViewId="0">
      <selection activeCell="C8" sqref="C8"/>
    </sheetView>
  </sheetViews>
  <sheetFormatPr defaultColWidth="47.140625" defaultRowHeight="15" x14ac:dyDescent="0.25"/>
  <cols>
    <col min="1" max="1" width="13.5703125" bestFit="1" customWidth="1"/>
    <col min="2" max="2" width="15" bestFit="1" customWidth="1"/>
    <col min="3" max="3" width="16.5703125" bestFit="1" customWidth="1"/>
  </cols>
  <sheetData>
    <row r="1" spans="1:3" ht="18.75" x14ac:dyDescent="0.25">
      <c r="A1" s="19" t="s">
        <v>9</v>
      </c>
      <c r="B1" s="20"/>
      <c r="C1" s="20"/>
    </row>
    <row r="2" spans="1:3" ht="25.5" x14ac:dyDescent="0.25">
      <c r="A2" s="20"/>
      <c r="B2" s="21" t="s">
        <v>104</v>
      </c>
      <c r="C2" s="32" t="s">
        <v>55</v>
      </c>
    </row>
    <row r="3" spans="1:3" ht="25.5" x14ac:dyDescent="0.25">
      <c r="A3" s="21" t="s">
        <v>105</v>
      </c>
      <c r="B3" s="29" t="s">
        <v>515</v>
      </c>
      <c r="C3" s="29" t="s">
        <v>514</v>
      </c>
    </row>
    <row r="4" spans="1:3" ht="25.5" x14ac:dyDescent="0.25">
      <c r="A4" s="21" t="s">
        <v>125</v>
      </c>
      <c r="B4" s="30" t="s">
        <v>126</v>
      </c>
      <c r="C4" s="30" t="s">
        <v>514</v>
      </c>
    </row>
    <row r="5" spans="1:3" ht="24.75" x14ac:dyDescent="0.25">
      <c r="A5" s="28" t="s">
        <v>150</v>
      </c>
      <c r="B5" s="27" t="s">
        <v>517</v>
      </c>
      <c r="C5" s="31" t="s">
        <v>516</v>
      </c>
    </row>
    <row r="6" spans="1:3" hidden="1" x14ac:dyDescent="0.25">
      <c r="A6" s="22" t="s">
        <v>1001</v>
      </c>
      <c r="B6" s="84">
        <v>222</v>
      </c>
      <c r="C6" s="85">
        <v>1</v>
      </c>
    </row>
    <row r="7" spans="1:3" x14ac:dyDescent="0.25">
      <c r="A7" s="22" t="s">
        <v>145</v>
      </c>
      <c r="B7" s="82">
        <v>234</v>
      </c>
      <c r="C7" s="90">
        <v>2</v>
      </c>
    </row>
    <row r="8" spans="1:3" x14ac:dyDescent="0.25">
      <c r="A8" s="22" t="s">
        <v>145</v>
      </c>
      <c r="B8" s="82">
        <v>999</v>
      </c>
      <c r="C8" s="90">
        <v>2</v>
      </c>
    </row>
    <row r="9" spans="1:3" x14ac:dyDescent="0.25">
      <c r="A9" s="20"/>
      <c r="B9" s="20"/>
      <c r="C9" s="20"/>
    </row>
    <row r="10" spans="1:3" x14ac:dyDescent="0.25">
      <c r="A10" s="20"/>
      <c r="B10" s="20"/>
      <c r="C10" s="20"/>
    </row>
    <row r="11" spans="1:3" x14ac:dyDescent="0.25">
      <c r="A11" s="20"/>
      <c r="B11" s="20"/>
      <c r="C11" s="20"/>
    </row>
  </sheetData>
  <conditionalFormatting sqref="A6:A7">
    <cfRule type="containsText" dxfId="343" priority="1" operator="containsText" text="DELETE">
      <formula>NOT(ISERROR(SEARCH("DELETE",A6)))</formula>
    </cfRule>
    <cfRule type="containsText" dxfId="342" priority="2" operator="containsText" text="MODIFY">
      <formula>NOT(ISERROR(SEARCH("MODIFY",A6)))</formula>
    </cfRule>
    <cfRule type="containsText" dxfId="341" priority="3" operator="containsText" text="No ACTION">
      <formula>NOT(ISERROR(SEARCH("No ACTION",A6)))</formula>
    </cfRule>
  </conditionalFormatting>
  <conditionalFormatting sqref="A6:A7">
    <cfRule type="containsText" dxfId="340" priority="4" operator="containsText" text="ADD">
      <formula>NOT(ISERROR(SEARCH("ADD",A6)))</formula>
    </cfRule>
  </conditionalFormatting>
  <conditionalFormatting sqref="A8">
    <cfRule type="containsText" dxfId="339" priority="8" operator="containsText" text="ADD">
      <formula>NOT(ISERROR(SEARCH("ADD",A8)))</formula>
    </cfRule>
  </conditionalFormatting>
  <conditionalFormatting sqref="A8">
    <cfRule type="containsText" dxfId="338" priority="5" operator="containsText" text="DELETE">
      <formula>NOT(ISERROR(SEARCH("DELETE",A8)))</formula>
    </cfRule>
    <cfRule type="containsText" dxfId="337" priority="6" operator="containsText" text="MODIFY">
      <formula>NOT(ISERROR(SEARCH("MODIFY",A8)))</formula>
    </cfRule>
    <cfRule type="containsText" dxfId="336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9" sqref="C6:C8">
      <formula1>0</formula1>
      <formula2>9</formula2>
    </dataValidation>
    <dataValidation type="whole" allowBlank="1" showInputMessage="1" showErrorMessage="1" error="Value Range: 0..999" sqref="B6:B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K8"/>
  <sheetViews>
    <sheetView workbookViewId="0">
      <pane ySplit="5" topLeftCell="A7" activePane="bottomLeft" state="frozen"/>
      <selection pane="bottomLeft" activeCell="A5" sqref="A5:XFD5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16.5703125" customWidth="1"/>
    <col min="4" max="4" width="38.28515625" bestFit="1" customWidth="1"/>
    <col min="5" max="5" width="17.85546875" bestFit="1" customWidth="1"/>
    <col min="6" max="6" width="27.5703125" style="20" bestFit="1" customWidth="1"/>
    <col min="7" max="7" width="38.28515625" customWidth="1"/>
    <col min="8" max="8" width="27" customWidth="1"/>
    <col min="9" max="9" width="26.28515625" customWidth="1"/>
    <col min="10" max="10" width="17.5703125" bestFit="1" customWidth="1"/>
    <col min="11" max="11" width="16.5703125" customWidth="1"/>
  </cols>
  <sheetData>
    <row r="1" spans="1:11" ht="18.75" x14ac:dyDescent="0.25">
      <c r="A1" s="19" t="s">
        <v>9</v>
      </c>
      <c r="B1" s="20"/>
      <c r="C1" s="20"/>
      <c r="D1" s="20"/>
      <c r="E1" s="20"/>
      <c r="G1" s="20"/>
      <c r="H1" s="20"/>
      <c r="I1" s="20"/>
      <c r="J1" s="20"/>
      <c r="K1" s="20"/>
    </row>
    <row r="2" spans="1:11" x14ac:dyDescent="0.25">
      <c r="A2" s="20"/>
      <c r="B2" s="21" t="s">
        <v>104</v>
      </c>
      <c r="C2" s="32" t="s">
        <v>14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  <c r="J2" s="20"/>
      <c r="K2" s="20"/>
    </row>
    <row r="3" spans="1:11" ht="25.5" x14ac:dyDescent="0.25">
      <c r="A3" s="21" t="s">
        <v>105</v>
      </c>
      <c r="B3" s="29" t="s">
        <v>147</v>
      </c>
      <c r="C3" s="29" t="s">
        <v>148</v>
      </c>
      <c r="D3" s="29" t="s">
        <v>174</v>
      </c>
      <c r="E3" s="29" t="s">
        <v>518</v>
      </c>
      <c r="F3" s="29" t="s">
        <v>149</v>
      </c>
      <c r="G3" s="29" t="s">
        <v>519</v>
      </c>
      <c r="H3" s="29" t="s">
        <v>520</v>
      </c>
      <c r="I3" s="29" t="s">
        <v>263</v>
      </c>
      <c r="J3" s="29" t="s">
        <v>264</v>
      </c>
      <c r="K3" s="29" t="s">
        <v>181</v>
      </c>
    </row>
    <row r="4" spans="1:11" ht="25.5" x14ac:dyDescent="0.25">
      <c r="A4" s="21" t="s">
        <v>125</v>
      </c>
      <c r="B4" s="30" t="s">
        <v>126</v>
      </c>
      <c r="C4" s="30" t="s">
        <v>170</v>
      </c>
      <c r="D4" s="30" t="s">
        <v>265</v>
      </c>
      <c r="E4" s="30" t="s">
        <v>176</v>
      </c>
      <c r="F4" s="30" t="s">
        <v>460</v>
      </c>
      <c r="G4" s="30" t="s">
        <v>519</v>
      </c>
      <c r="H4" s="30" t="s">
        <v>182</v>
      </c>
      <c r="I4" s="30" t="s">
        <v>183</v>
      </c>
      <c r="J4" s="30" t="s">
        <v>184</v>
      </c>
      <c r="K4" s="30" t="s">
        <v>185</v>
      </c>
    </row>
    <row r="5" spans="1:11" s="63" customFormat="1" ht="76.5" hidden="1" x14ac:dyDescent="0.25">
      <c r="A5" s="28" t="s">
        <v>150</v>
      </c>
      <c r="B5" s="67" t="s">
        <v>171</v>
      </c>
      <c r="C5" s="68" t="s">
        <v>1330</v>
      </c>
      <c r="D5" s="68" t="s">
        <v>1331</v>
      </c>
      <c r="E5" s="68" t="s">
        <v>1332</v>
      </c>
      <c r="F5" s="68" t="s">
        <v>1333</v>
      </c>
      <c r="G5" s="68" t="s">
        <v>1334</v>
      </c>
      <c r="H5" s="39" t="s">
        <v>1335</v>
      </c>
      <c r="I5" s="68" t="s">
        <v>1005</v>
      </c>
      <c r="J5" s="68" t="s">
        <v>1006</v>
      </c>
      <c r="K5" s="68" t="s">
        <v>1131</v>
      </c>
    </row>
    <row r="6" spans="1:11" hidden="1" x14ac:dyDescent="0.25">
      <c r="A6" s="22" t="s">
        <v>1001</v>
      </c>
      <c r="B6" s="76"/>
      <c r="C6" s="81"/>
      <c r="D6" s="81"/>
      <c r="E6" s="83"/>
      <c r="F6" s="81"/>
      <c r="G6" s="83"/>
      <c r="H6" s="83"/>
      <c r="I6" s="81"/>
      <c r="J6" s="81"/>
      <c r="K6" s="77"/>
    </row>
    <row r="7" spans="1:11" s="63" customFormat="1" x14ac:dyDescent="0.25">
      <c r="F7" s="64"/>
    </row>
    <row r="8" spans="1:11" s="63" customFormat="1" x14ac:dyDescent="0.25">
      <c r="F8" s="64"/>
    </row>
  </sheetData>
  <conditionalFormatting sqref="A6">
    <cfRule type="containsText" dxfId="335" priority="4" operator="containsText" text="DELETE">
      <formula>NOT(ISERROR(SEARCH("DELETE",A6)))</formula>
    </cfRule>
    <cfRule type="containsText" dxfId="334" priority="5" operator="containsText" text="MODIFY">
      <formula>NOT(ISERROR(SEARCH("MODIFY",A6)))</formula>
    </cfRule>
    <cfRule type="containsText" dxfId="333" priority="6" operator="containsText" text="No ACTION">
      <formula>NOT(ISERROR(SEARCH("No ACTION",A6)))</formula>
    </cfRule>
  </conditionalFormatting>
  <conditionalFormatting sqref="A6">
    <cfRule type="containsText" dxfId="332" priority="7" operator="containsText" text="ADD">
      <formula>NOT(ISERROR(SEARCH("ADD",A6)))</formula>
    </cfRule>
  </conditionalFormatting>
  <conditionalFormatting sqref="I6">
    <cfRule type="expression" dxfId="331" priority="3">
      <formula>H6=""</formula>
    </cfRule>
  </conditionalFormatting>
  <conditionalFormatting sqref="J6">
    <cfRule type="expression" dxfId="330" priority="2">
      <formula>H6=""</formula>
    </cfRule>
  </conditionalFormatting>
  <conditionalFormatting sqref="K6">
    <cfRule type="expression" dxfId="329" priority="1">
      <formula>H6=""</formula>
    </cfRule>
  </conditionalFormatting>
  <dataValidations count="10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"roamingRestrictions,noReplacement,suppressMobileOriginatingSms,barringOfOutgoingInternationalSmsExceptToHome"</formula1>
    </dataValidation>
    <dataValidation type="list" allowBlank="1" showInputMessage="1" showErrorMessage="1" sqref="E6:E8">
      <formula1>"3"</formula1>
    </dataValidation>
    <dataValidation type="list" allowBlank="1" showInputMessage="1" showErrorMessage="1" sqref="G6:G8">
      <formula1>"noReplacement,suppressMobileOriginatingSms,barringOfOutgoingInternationalSmsExceptToHome"</formula1>
    </dataValidation>
    <dataValidation type="list" allowBlank="1" showInputMessage="1" showErrorMessage="1" sqref="K6:K8">
      <formula1>"true,false"</formula1>
    </dataValidation>
    <dataValidation type="list" allowBlank="1" showInputMessage="1" showErrorMessage="1" sqref="H6:H8">
      <formula1>"2"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textLength" allowBlank="1" showInputMessage="1" showErrorMessage="1" error="Length Range: 1..15" sqref="I6:I8">
      <formula1>0</formula1>
      <formula2>15</formula2>
    </dataValidation>
    <dataValidation type="whole" allowBlank="1" showInputMessage="1" showErrorMessage="1" error="Value range:0..2147483647" sqref="J6:J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F6:F8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F13"/>
  <sheetViews>
    <sheetView workbookViewId="0">
      <pane ySplit="2" topLeftCell="A3" activePane="bottomLeft" state="frozen"/>
      <selection pane="bottomLeft" activeCell="G18" sqref="G18"/>
    </sheetView>
  </sheetViews>
  <sheetFormatPr defaultRowHeight="15" x14ac:dyDescent="0.25"/>
  <cols>
    <col min="1" max="1" width="33.140625" style="63" customWidth="1"/>
    <col min="2" max="2" width="9.140625" style="202"/>
    <col min="3" max="3" width="26.85546875" style="63" bestFit="1" customWidth="1"/>
    <col min="4" max="4" width="9.140625" style="214"/>
    <col min="5" max="16384" width="9.140625" style="63"/>
  </cols>
  <sheetData>
    <row r="1" spans="1:6" x14ac:dyDescent="0.25">
      <c r="A1" s="205" t="s">
        <v>1028</v>
      </c>
      <c r="B1" s="127" t="s">
        <v>56</v>
      </c>
      <c r="C1" s="166" t="s">
        <v>1172</v>
      </c>
      <c r="D1" s="206"/>
      <c r="E1" s="169"/>
      <c r="F1" s="169"/>
    </row>
    <row r="2" spans="1:6" ht="38.25" x14ac:dyDescent="0.25">
      <c r="A2" s="207" t="s">
        <v>1030</v>
      </c>
      <c r="B2" s="207" t="s">
        <v>1031</v>
      </c>
      <c r="C2" s="170" t="s">
        <v>1032</v>
      </c>
      <c r="D2" s="207" t="s">
        <v>1033</v>
      </c>
      <c r="E2" s="170" t="s">
        <v>1034</v>
      </c>
      <c r="F2" s="170" t="s">
        <v>1035</v>
      </c>
    </row>
    <row r="3" spans="1:6" x14ac:dyDescent="0.25">
      <c r="A3" s="30" t="s">
        <v>126</v>
      </c>
      <c r="B3" s="187" t="s">
        <v>1036</v>
      </c>
      <c r="C3" s="203" t="s">
        <v>1167</v>
      </c>
      <c r="D3" s="187" t="s">
        <v>1070</v>
      </c>
      <c r="E3" s="188" t="s">
        <v>1102</v>
      </c>
      <c r="F3" s="108" t="s">
        <v>1102</v>
      </c>
    </row>
    <row r="4" spans="1:6" x14ac:dyDescent="0.25">
      <c r="A4" s="30" t="s">
        <v>170</v>
      </c>
      <c r="B4" s="202" t="s">
        <v>1036</v>
      </c>
      <c r="C4" s="63" t="s">
        <v>1336</v>
      </c>
      <c r="D4" s="214">
        <v>0</v>
      </c>
      <c r="E4" s="215" t="s">
        <v>1337</v>
      </c>
      <c r="F4" s="108" t="s">
        <v>1337</v>
      </c>
    </row>
    <row r="5" spans="1:6" x14ac:dyDescent="0.25">
      <c r="A5" s="30" t="s">
        <v>265</v>
      </c>
      <c r="B5" s="202" t="s">
        <v>1069</v>
      </c>
      <c r="E5" s="128"/>
      <c r="F5" s="108"/>
    </row>
    <row r="6" spans="1:6" x14ac:dyDescent="0.25">
      <c r="A6" s="30" t="s">
        <v>176</v>
      </c>
      <c r="B6" s="187" t="s">
        <v>1036</v>
      </c>
      <c r="C6" s="184" t="s">
        <v>1338</v>
      </c>
      <c r="D6" s="187" t="s">
        <v>1070</v>
      </c>
      <c r="E6" s="188" t="s">
        <v>1098</v>
      </c>
      <c r="F6" s="108">
        <v>3</v>
      </c>
    </row>
    <row r="7" spans="1:6" x14ac:dyDescent="0.25">
      <c r="A7" s="30" t="s">
        <v>460</v>
      </c>
      <c r="B7" s="187" t="s">
        <v>1069</v>
      </c>
      <c r="C7" s="209"/>
      <c r="D7" s="187"/>
      <c r="E7" s="188"/>
      <c r="F7" s="108"/>
    </row>
    <row r="8" spans="1:6" x14ac:dyDescent="0.25">
      <c r="A8" s="30" t="s">
        <v>519</v>
      </c>
      <c r="B8" s="187" t="s">
        <v>1069</v>
      </c>
      <c r="C8" s="209"/>
      <c r="D8" s="187"/>
      <c r="E8" s="188"/>
      <c r="F8" s="108"/>
    </row>
    <row r="9" spans="1:6" x14ac:dyDescent="0.25">
      <c r="A9" s="30" t="s">
        <v>182</v>
      </c>
      <c r="B9" s="187" t="s">
        <v>1036</v>
      </c>
      <c r="C9" s="204" t="s">
        <v>182</v>
      </c>
      <c r="D9" s="187" t="s">
        <v>1070</v>
      </c>
      <c r="E9" s="188" t="s">
        <v>1247</v>
      </c>
      <c r="F9" s="108" t="s">
        <v>1102</v>
      </c>
    </row>
    <row r="10" spans="1:6" x14ac:dyDescent="0.25">
      <c r="A10" s="30" t="s">
        <v>183</v>
      </c>
      <c r="B10" s="216" t="s">
        <v>1036</v>
      </c>
      <c r="C10" s="209" t="s">
        <v>1339</v>
      </c>
      <c r="D10" s="216">
        <v>0</v>
      </c>
      <c r="E10" s="217" t="s">
        <v>1102</v>
      </c>
      <c r="F10" s="108" t="s">
        <v>1102</v>
      </c>
    </row>
    <row r="11" spans="1:6" x14ac:dyDescent="0.25">
      <c r="A11" s="30" t="s">
        <v>184</v>
      </c>
      <c r="B11" s="216" t="s">
        <v>1036</v>
      </c>
      <c r="C11" s="209" t="s">
        <v>1340</v>
      </c>
      <c r="D11" s="216">
        <v>0</v>
      </c>
      <c r="E11" s="217" t="s">
        <v>1102</v>
      </c>
      <c r="F11" s="108" t="s">
        <v>1102</v>
      </c>
    </row>
    <row r="12" spans="1:6" x14ac:dyDescent="0.25">
      <c r="A12" s="370" t="s">
        <v>185</v>
      </c>
      <c r="B12" s="372" t="s">
        <v>1036</v>
      </c>
      <c r="C12" s="372" t="s">
        <v>1341</v>
      </c>
      <c r="D12" s="374">
        <v>0</v>
      </c>
      <c r="E12" s="218" t="s">
        <v>1093</v>
      </c>
      <c r="F12" s="108" t="b">
        <v>1</v>
      </c>
    </row>
    <row r="13" spans="1:6" x14ac:dyDescent="0.25">
      <c r="A13" s="371"/>
      <c r="B13" s="373"/>
      <c r="C13" s="373"/>
      <c r="D13" s="375"/>
      <c r="E13" s="219" t="s">
        <v>1091</v>
      </c>
      <c r="F13" s="108" t="b">
        <v>0</v>
      </c>
    </row>
  </sheetData>
  <mergeCells count="4">
    <mergeCell ref="A12:A13"/>
    <mergeCell ref="B12:B13"/>
    <mergeCell ref="C12:C13"/>
    <mergeCell ref="D12:D13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G9"/>
  <sheetViews>
    <sheetView workbookViewId="0">
      <selection activeCell="G8" sqref="G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7.7109375" customWidth="1"/>
    <col min="4" max="4" width="38.28515625" customWidth="1"/>
    <col min="5" max="5" width="17.85546875" customWidth="1"/>
    <col min="6" max="6" width="35.5703125" style="20" bestFit="1" customWidth="1"/>
    <col min="7" max="7" width="27.5703125" style="20" customWidth="1"/>
  </cols>
  <sheetData>
    <row r="1" spans="1:7" ht="18.75" x14ac:dyDescent="0.25">
      <c r="A1" s="19" t="s">
        <v>9</v>
      </c>
      <c r="B1" s="20"/>
      <c r="C1" s="20"/>
      <c r="D1" s="20"/>
      <c r="E1" s="20"/>
    </row>
    <row r="2" spans="1:7" x14ac:dyDescent="0.25">
      <c r="A2" s="20"/>
      <c r="B2" s="21" t="s">
        <v>104</v>
      </c>
      <c r="C2" s="32" t="s">
        <v>21</v>
      </c>
      <c r="D2" s="20"/>
      <c r="E2" s="20"/>
    </row>
    <row r="3" spans="1:7" ht="25.5" x14ac:dyDescent="0.25">
      <c r="A3" s="21" t="s">
        <v>105</v>
      </c>
      <c r="B3" s="29" t="s">
        <v>147</v>
      </c>
      <c r="C3" s="29" t="s">
        <v>275</v>
      </c>
      <c r="D3" s="29" t="s">
        <v>291</v>
      </c>
      <c r="E3" s="29" t="s">
        <v>148</v>
      </c>
      <c r="F3" s="29" t="s">
        <v>292</v>
      </c>
      <c r="G3" s="29" t="s">
        <v>149</v>
      </c>
    </row>
    <row r="4" spans="1:7" ht="25.5" x14ac:dyDescent="0.25">
      <c r="A4" s="21" t="s">
        <v>125</v>
      </c>
      <c r="B4" s="30" t="s">
        <v>126</v>
      </c>
      <c r="C4" s="30" t="s">
        <v>293</v>
      </c>
      <c r="D4" s="30" t="s">
        <v>294</v>
      </c>
      <c r="E4" s="30" t="s">
        <v>170</v>
      </c>
      <c r="F4" s="30" t="s">
        <v>459</v>
      </c>
      <c r="G4" s="30" t="s">
        <v>460</v>
      </c>
    </row>
    <row r="5" spans="1:7" ht="76.5" x14ac:dyDescent="0.25">
      <c r="A5" s="28" t="s">
        <v>150</v>
      </c>
      <c r="B5" s="67" t="s">
        <v>171</v>
      </c>
      <c r="C5" s="68" t="s">
        <v>1005</v>
      </c>
      <c r="D5" s="31" t="s">
        <v>521</v>
      </c>
      <c r="E5" s="31" t="s">
        <v>467</v>
      </c>
      <c r="F5" s="31" t="s">
        <v>522</v>
      </c>
      <c r="G5" s="31" t="s">
        <v>472</v>
      </c>
    </row>
    <row r="6" spans="1:7" hidden="1" x14ac:dyDescent="0.25">
      <c r="A6" s="22" t="s">
        <v>1001</v>
      </c>
      <c r="B6" s="76"/>
      <c r="C6" s="81"/>
      <c r="D6" s="81"/>
      <c r="E6" s="81"/>
      <c r="F6" s="81"/>
      <c r="G6" s="81"/>
    </row>
    <row r="7" spans="1:7" x14ac:dyDescent="0.25">
      <c r="A7" s="22" t="s">
        <v>145</v>
      </c>
      <c r="B7" s="87" t="s">
        <v>948</v>
      </c>
      <c r="C7" s="88">
        <v>12345</v>
      </c>
      <c r="D7" s="88" t="s">
        <v>961</v>
      </c>
      <c r="E7" s="88" t="s">
        <v>550</v>
      </c>
      <c r="F7" s="25"/>
      <c r="G7" s="88" t="s">
        <v>167</v>
      </c>
    </row>
    <row r="8" spans="1:7" x14ac:dyDescent="0.25">
      <c r="A8" s="22" t="s">
        <v>145</v>
      </c>
      <c r="B8" s="87" t="s">
        <v>949</v>
      </c>
      <c r="C8" s="88">
        <v>23456</v>
      </c>
      <c r="D8" s="88" t="s">
        <v>960</v>
      </c>
      <c r="E8" s="88" t="s">
        <v>745</v>
      </c>
      <c r="F8" s="25"/>
      <c r="G8" s="88" t="s">
        <v>166</v>
      </c>
    </row>
    <row r="9" spans="1:7" x14ac:dyDescent="0.25">
      <c r="C9" s="63"/>
    </row>
  </sheetData>
  <conditionalFormatting sqref="A6:A7">
    <cfRule type="containsText" dxfId="328" priority="1" operator="containsText" text="DELETE">
      <formula>NOT(ISERROR(SEARCH("DELETE",A6)))</formula>
    </cfRule>
    <cfRule type="containsText" dxfId="327" priority="2" operator="containsText" text="MODIFY">
      <formula>NOT(ISERROR(SEARCH("MODIFY",A6)))</formula>
    </cfRule>
    <cfRule type="containsText" dxfId="326" priority="3" operator="containsText" text="No ACTION">
      <formula>NOT(ISERROR(SEARCH("No ACTION",A6)))</formula>
    </cfRule>
  </conditionalFormatting>
  <conditionalFormatting sqref="A6:A7">
    <cfRule type="containsText" dxfId="325" priority="4" operator="containsText" text="ADD">
      <formula>NOT(ISERROR(SEARCH("ADD",A6)))</formula>
    </cfRule>
  </conditionalFormatting>
  <conditionalFormatting sqref="A8">
    <cfRule type="containsText" dxfId="324" priority="8" operator="containsText" text="ADD">
      <formula>NOT(ISERROR(SEARCH("ADD",A8)))</formula>
    </cfRule>
  </conditionalFormatting>
  <conditionalFormatting sqref="A8">
    <cfRule type="containsText" dxfId="323" priority="5" operator="containsText" text="DELETE">
      <formula>NOT(ISERROR(SEARCH("DELETE",A8)))</formula>
    </cfRule>
    <cfRule type="containsText" dxfId="322" priority="6" operator="containsText" text="MODIFY">
      <formula>NOT(ISERROR(SEARCH("MODIFY",A8)))</formula>
    </cfRule>
    <cfRule type="containsText" dxfId="321" priority="7" operator="containsText" text="No ACTION">
      <formula>NOT(ISERROR(SEARCH("No ACTION",A8)))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E6:E8">
      <formula1>"noWhere,homePlmn,visitedPlmn,allPlmn"</formula1>
    </dataValidation>
    <dataValidation type="list" allowBlank="1" showInputMessage="1" showErrorMessage="1" sqref="D6:D8">
      <formula1>"callCompletitionToBusySubscriber,multiParty,bothCcbsAndMultiParty,explicitCallTransfer,callDeflection"</formula1>
    </dataValidation>
    <dataValidation type="list" allowBlank="1" showInputMessage="1" showErrorMessage="1" sqref="F6:F8">
      <formula1>"roamingRestrictions,noReplacement,multiPartyNotAllowed,explicitCallTransferNotAllowed,multiPartyAndExplicitCallTransferNotAllowed"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G6:G8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E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7.7109375" customWidth="1"/>
    <col min="4" max="4" width="38.28515625" customWidth="1"/>
    <col min="5" max="5" width="17.85546875" customWidth="1"/>
  </cols>
  <sheetData>
    <row r="1" spans="1:5" ht="18.75" x14ac:dyDescent="0.25">
      <c r="A1" s="19" t="s">
        <v>9</v>
      </c>
      <c r="B1" s="20"/>
      <c r="C1" s="20"/>
      <c r="D1" s="20"/>
      <c r="E1" s="20"/>
    </row>
    <row r="2" spans="1:5" x14ac:dyDescent="0.25">
      <c r="A2" s="20"/>
      <c r="B2" s="21" t="s">
        <v>104</v>
      </c>
      <c r="C2" s="32" t="s">
        <v>58</v>
      </c>
      <c r="D2" s="20"/>
      <c r="E2" s="20"/>
    </row>
    <row r="3" spans="1:5" ht="25.5" x14ac:dyDescent="0.25">
      <c r="A3" s="21" t="s">
        <v>105</v>
      </c>
      <c r="B3" s="29" t="s">
        <v>147</v>
      </c>
      <c r="C3" s="29" t="s">
        <v>514</v>
      </c>
      <c r="D3" s="29" t="s">
        <v>526</v>
      </c>
      <c r="E3" s="29" t="s">
        <v>527</v>
      </c>
    </row>
    <row r="4" spans="1:5" ht="25.5" x14ac:dyDescent="0.25">
      <c r="A4" s="21" t="s">
        <v>125</v>
      </c>
      <c r="B4" s="30" t="s">
        <v>126</v>
      </c>
      <c r="C4" s="30" t="s">
        <v>514</v>
      </c>
      <c r="D4" s="30" t="s">
        <v>523</v>
      </c>
      <c r="E4" s="30" t="s">
        <v>524</v>
      </c>
    </row>
    <row r="5" spans="1:5" ht="48.75" x14ac:dyDescent="0.25">
      <c r="A5" s="28" t="s">
        <v>150</v>
      </c>
      <c r="B5" s="67" t="s">
        <v>171</v>
      </c>
      <c r="C5" s="27" t="s">
        <v>516</v>
      </c>
      <c r="D5" s="27" t="s">
        <v>525</v>
      </c>
      <c r="E5" s="27" t="s">
        <v>528</v>
      </c>
    </row>
    <row r="6" spans="1:5" hidden="1" x14ac:dyDescent="0.25">
      <c r="A6" s="22" t="s">
        <v>1001</v>
      </c>
      <c r="B6" s="76"/>
      <c r="C6" s="81"/>
      <c r="D6" s="81"/>
      <c r="E6" s="81"/>
    </row>
    <row r="7" spans="1:5" x14ac:dyDescent="0.25">
      <c r="A7" s="22" t="s">
        <v>145</v>
      </c>
      <c r="B7" s="87" t="s">
        <v>1008</v>
      </c>
      <c r="C7" s="88">
        <v>3</v>
      </c>
      <c r="D7" s="88" t="s">
        <v>962</v>
      </c>
      <c r="E7" s="88" t="s">
        <v>963</v>
      </c>
    </row>
    <row r="8" spans="1:5" x14ac:dyDescent="0.25">
      <c r="A8" s="22" t="s">
        <v>145</v>
      </c>
      <c r="B8" s="87" t="s">
        <v>948</v>
      </c>
      <c r="C8" s="25"/>
      <c r="D8" s="25"/>
      <c r="E8" s="25"/>
    </row>
  </sheetData>
  <conditionalFormatting sqref="A6:A7">
    <cfRule type="containsText" dxfId="320" priority="1" operator="containsText" text="DELETE">
      <formula>NOT(ISERROR(SEARCH("DELETE",A6)))</formula>
    </cfRule>
    <cfRule type="containsText" dxfId="319" priority="2" operator="containsText" text="MODIFY">
      <formula>NOT(ISERROR(SEARCH("MODIFY",A6)))</formula>
    </cfRule>
    <cfRule type="containsText" dxfId="318" priority="3" operator="containsText" text="No ACTION">
      <formula>NOT(ISERROR(SEARCH("No ACTION",A6)))</formula>
    </cfRule>
  </conditionalFormatting>
  <conditionalFormatting sqref="A6:A7">
    <cfRule type="containsText" dxfId="317" priority="4" operator="containsText" text="ADD">
      <formula>NOT(ISERROR(SEARCH("ADD",A6)))</formula>
    </cfRule>
  </conditionalFormatting>
  <conditionalFormatting sqref="A8">
    <cfRule type="containsText" dxfId="316" priority="8" operator="containsText" text="ADD">
      <formula>NOT(ISERROR(SEARCH("ADD",A8)))</formula>
    </cfRule>
  </conditionalFormatting>
  <conditionalFormatting sqref="A8">
    <cfRule type="containsText" dxfId="315" priority="5" operator="containsText" text="DELETE">
      <formula>NOT(ISERROR(SEARCH("DELETE",A8)))</formula>
    </cfRule>
    <cfRule type="containsText" dxfId="314" priority="6" operator="containsText" text="MODIFY">
      <formula>NOT(ISERROR(SEARCH("MODIFY",A8)))</formula>
    </cfRule>
    <cfRule type="containsText" dxfId="313" priority="7" operator="containsText" text="No ACTION">
      <formula>NOT(ISERROR(SEARCH("No ACTION",A8)))</formula>
    </cfRule>
  </conditionalFormatting>
  <dataValidations count="5">
    <dataValidation type="list" allowBlank="1" showInputMessage="1" showErrorMessage="1" sqref="D6:D8">
      <formula1>"fixedFormat,subcriberDependent,serviceCenterAddress,nationalFormat"</formula1>
    </dataValidation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9" sqref="C6:C8">
      <formula1>0</formula1>
      <formula2>9</formula2>
    </dataValidation>
    <dataValidation type="textLength" allowBlank="1" showInputMessage="1" showErrorMessage="1" error="1..16 characters" sqref="E6:E8">
      <formula1>0</formula1>
      <formula2>16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N9"/>
  <sheetViews>
    <sheetView workbookViewId="0">
      <pane ySplit="5" topLeftCell="A10" activePane="bottomLeft" state="frozen"/>
      <selection pane="bottomLeft" activeCell="C10" sqref="C10"/>
    </sheetView>
  </sheetViews>
  <sheetFormatPr defaultColWidth="47.140625" defaultRowHeight="15" x14ac:dyDescent="0.25"/>
  <cols>
    <col min="1" max="1" width="13.5703125" customWidth="1"/>
    <col min="2" max="2" width="11.5703125" bestFit="1" customWidth="1"/>
    <col min="3" max="3" width="24.140625" bestFit="1" customWidth="1"/>
    <col min="4" max="4" width="13.7109375" bestFit="1" customWidth="1"/>
    <col min="5" max="5" width="17.85546875" bestFit="1" customWidth="1"/>
    <col min="6" max="6" width="27.5703125" style="20" customWidth="1"/>
    <col min="7" max="7" width="24.85546875" bestFit="1" customWidth="1"/>
    <col min="8" max="8" width="18.28515625" bestFit="1" customWidth="1"/>
    <col min="9" max="9" width="19.85546875" bestFit="1" customWidth="1"/>
    <col min="10" max="10" width="12.42578125" bestFit="1" customWidth="1"/>
    <col min="11" max="11" width="5.42578125" bestFit="1" customWidth="1"/>
    <col min="12" max="12" width="21.85546875" bestFit="1" customWidth="1"/>
    <col min="13" max="13" width="12.7109375" bestFit="1" customWidth="1"/>
    <col min="14" max="14" width="14.85546875" bestFit="1" customWidth="1"/>
  </cols>
  <sheetData>
    <row r="1" spans="1:14" ht="18.75" x14ac:dyDescent="0.25">
      <c r="A1" s="19" t="s">
        <v>9</v>
      </c>
      <c r="B1" s="20"/>
      <c r="C1" s="20"/>
      <c r="D1" s="20"/>
      <c r="E1" s="20"/>
      <c r="G1" s="20"/>
      <c r="H1" s="20"/>
      <c r="I1" s="20"/>
      <c r="J1" s="20"/>
      <c r="K1" s="20"/>
      <c r="L1" s="20"/>
      <c r="M1" s="20"/>
      <c r="N1" s="20"/>
    </row>
    <row r="2" spans="1:14" x14ac:dyDescent="0.25">
      <c r="A2" s="20"/>
      <c r="B2" s="21" t="s">
        <v>104</v>
      </c>
      <c r="C2" s="32" t="s">
        <v>19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  <c r="J2" s="20"/>
      <c r="K2" s="20"/>
      <c r="L2" s="20"/>
      <c r="M2" s="20"/>
      <c r="N2" s="20"/>
    </row>
    <row r="3" spans="1:14" ht="25.5" x14ac:dyDescent="0.25">
      <c r="A3" s="21" t="s">
        <v>105</v>
      </c>
      <c r="B3" s="29" t="s">
        <v>173</v>
      </c>
      <c r="C3" s="29" t="s">
        <v>421</v>
      </c>
      <c r="D3" s="29" t="s">
        <v>148</v>
      </c>
      <c r="E3" s="29" t="s">
        <v>175</v>
      </c>
      <c r="F3" s="29" t="s">
        <v>149</v>
      </c>
      <c r="G3" s="29" t="s">
        <v>548</v>
      </c>
      <c r="H3" s="29" t="s">
        <v>546</v>
      </c>
      <c r="I3" s="29" t="s">
        <v>547</v>
      </c>
      <c r="J3" s="29" t="s">
        <v>154</v>
      </c>
      <c r="K3" s="29" t="s">
        <v>295</v>
      </c>
      <c r="L3" s="29" t="s">
        <v>263</v>
      </c>
      <c r="M3" s="29" t="s">
        <v>264</v>
      </c>
      <c r="N3" s="29" t="s">
        <v>181</v>
      </c>
    </row>
    <row r="4" spans="1:14" ht="25.5" x14ac:dyDescent="0.25">
      <c r="A4" s="21" t="s">
        <v>125</v>
      </c>
      <c r="B4" s="30" t="s">
        <v>126</v>
      </c>
      <c r="C4" s="30" t="s">
        <v>266</v>
      </c>
      <c r="D4" s="30" t="s">
        <v>179</v>
      </c>
      <c r="E4" s="30" t="s">
        <v>176</v>
      </c>
      <c r="F4" s="30" t="s">
        <v>460</v>
      </c>
      <c r="G4" s="30" t="s">
        <v>296</v>
      </c>
      <c r="H4" s="30" t="s">
        <v>297</v>
      </c>
      <c r="I4" s="30" t="s">
        <v>298</v>
      </c>
      <c r="J4" s="30" t="s">
        <v>146</v>
      </c>
      <c r="K4" s="30" t="s">
        <v>743</v>
      </c>
      <c r="L4" s="30" t="s">
        <v>183</v>
      </c>
      <c r="M4" s="30" t="s">
        <v>184</v>
      </c>
      <c r="N4" s="30" t="s">
        <v>185</v>
      </c>
    </row>
    <row r="5" spans="1:14" ht="140.25" hidden="1" x14ac:dyDescent="0.25">
      <c r="A5" s="28" t="s">
        <v>1152</v>
      </c>
      <c r="B5" s="27" t="s">
        <v>171</v>
      </c>
      <c r="C5" s="31" t="s">
        <v>1159</v>
      </c>
      <c r="D5" s="31" t="s">
        <v>1154</v>
      </c>
      <c r="E5" s="27" t="s">
        <v>1155</v>
      </c>
      <c r="F5" s="31" t="s">
        <v>1168</v>
      </c>
      <c r="G5" s="31" t="s">
        <v>1131</v>
      </c>
      <c r="H5" s="31" t="s">
        <v>1131</v>
      </c>
      <c r="I5" s="31" t="s">
        <v>1131</v>
      </c>
      <c r="J5" s="31" t="s">
        <v>1131</v>
      </c>
      <c r="K5" s="27" t="s">
        <v>1169</v>
      </c>
      <c r="L5" s="68" t="s">
        <v>1162</v>
      </c>
      <c r="M5" s="68" t="s">
        <v>1163</v>
      </c>
      <c r="N5" s="68" t="s">
        <v>1164</v>
      </c>
    </row>
    <row r="6" spans="1:14" hidden="1" x14ac:dyDescent="0.25">
      <c r="A6" s="22" t="s">
        <v>1001</v>
      </c>
      <c r="B6" s="76"/>
      <c r="C6" s="81"/>
      <c r="D6" s="81"/>
      <c r="E6" s="81"/>
      <c r="F6" s="81"/>
      <c r="G6" s="83"/>
      <c r="H6" s="83"/>
      <c r="I6" s="83"/>
      <c r="J6" s="83"/>
      <c r="K6" s="81"/>
      <c r="L6" s="81"/>
      <c r="M6" s="81"/>
      <c r="N6" s="77"/>
    </row>
    <row r="7" spans="1:14" s="63" customFormat="1" x14ac:dyDescent="0.25">
      <c r="F7" s="64"/>
    </row>
    <row r="8" spans="1:14" s="63" customFormat="1" x14ac:dyDescent="0.25">
      <c r="F8" s="64"/>
    </row>
    <row r="9" spans="1:14" s="63" customFormat="1" x14ac:dyDescent="0.25">
      <c r="F9" s="64"/>
    </row>
  </sheetData>
  <conditionalFormatting sqref="A6:A8">
    <cfRule type="containsText" dxfId="312" priority="13" operator="containsText" text="ADD">
      <formula>NOT(ISERROR(SEARCH("ADD",A6)))</formula>
    </cfRule>
  </conditionalFormatting>
  <conditionalFormatting sqref="A6:A8">
    <cfRule type="containsText" dxfId="311" priority="10" operator="containsText" text="DELETE">
      <formula>NOT(ISERROR(SEARCH("DELETE",A6)))</formula>
    </cfRule>
    <cfRule type="containsText" dxfId="310" priority="11" operator="containsText" text="MODIFY">
      <formula>NOT(ISERROR(SEARCH("MODIFY",A6)))</formula>
    </cfRule>
    <cfRule type="containsText" dxfId="309" priority="12" operator="containsText" text="No ACTION">
      <formula>NOT(ISERROR(SEARCH("No ACTION",A6)))</formula>
    </cfRule>
  </conditionalFormatting>
  <conditionalFormatting sqref="A9">
    <cfRule type="containsText" dxfId="308" priority="17" operator="containsText" text="ADD">
      <formula>NOT(ISERROR(SEARCH("ADD",A9)))</formula>
    </cfRule>
  </conditionalFormatting>
  <conditionalFormatting sqref="A9">
    <cfRule type="containsText" dxfId="307" priority="14" operator="containsText" text="DELETE">
      <formula>NOT(ISERROR(SEARCH("DELETE",A9)))</formula>
    </cfRule>
    <cfRule type="containsText" dxfId="306" priority="15" operator="containsText" text="MODIFY">
      <formula>NOT(ISERROR(SEARCH("MODIFY",A9)))</formula>
    </cfRule>
    <cfRule type="containsText" dxfId="305" priority="16" operator="containsText" text="No ACTION">
      <formula>NOT(ISERROR(SEARCH("No ACTION",A9)))</formula>
    </cfRule>
  </conditionalFormatting>
  <conditionalFormatting sqref="N6:N8">
    <cfRule type="expression" dxfId="304" priority="5">
      <formula>K6=""</formula>
    </cfRule>
  </conditionalFormatting>
  <conditionalFormatting sqref="N9">
    <cfRule type="expression" dxfId="303" priority="4">
      <formula>K9=""</formula>
    </cfRule>
  </conditionalFormatting>
  <conditionalFormatting sqref="L6:L9">
    <cfRule type="expression" dxfId="302" priority="3">
      <formula>K6=""</formula>
    </cfRule>
  </conditionalFormatting>
  <conditionalFormatting sqref="M6:M9">
    <cfRule type="expression" dxfId="301" priority="1">
      <formula>K6=""</formula>
    </cfRule>
  </conditionalFormatting>
  <dataValidations count="8">
    <dataValidation type="list" showInputMessage="1" showErrorMessage="1" sqref="A6:A9">
      <formula1>"ADD,MODIFY,DELETE,NO ACTION"</formula1>
    </dataValidation>
    <dataValidation type="list" allowBlank="1" showInputMessage="1" showErrorMessage="1" sqref="D6:D9">
      <formula1>"allPlmn, homePlmn, noWhere, visitedPlmn"</formula1>
    </dataValidation>
    <dataValidation type="list" allowBlank="1" showInputMessage="1" showErrorMessage="1" sqref="C6:C9">
      <formula1>"replaceByBAIC, noReplacement, noOptimalRouting"</formula1>
    </dataValidation>
    <dataValidation type="list" allowBlank="1" showInputMessage="1" showErrorMessage="1" sqref="K6:K9">
      <formula1>"12, 13, 14"</formula1>
    </dataValidation>
    <dataValidation type="list" allowBlank="1" showInputMessage="1" showErrorMessage="1" sqref="N6:N9 G6:J9">
      <formula1>"true,false"</formula1>
    </dataValidation>
    <dataValidation type="textLength" allowBlank="1" showInputMessage="1" showErrorMessage="1" error="String:_x000a_1..10_x000a_characters" sqref="B6:B9">
      <formula1>0</formula1>
      <formula2>10</formula2>
    </dataValidation>
    <dataValidation type="whole" allowBlank="1" showInputMessage="1" showErrorMessage="1" error="Value range:0..2147483647" sqref="M6:M9">
      <formula1>0</formula1>
      <formula2>2147483647</formula2>
    </dataValidation>
    <dataValidation type="textLength" allowBlank="1" showInputMessage="1" showErrorMessage="1" error=" Length Range: 1..15" sqref="L6:L9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refValues!$C$1:$C$19</xm:f>
          </x14:formula1>
          <xm:sqref>F6:F9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D8"/>
  <sheetViews>
    <sheetView workbookViewId="0"/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  <col min="4" max="4" width="31.5703125" customWidth="1"/>
  </cols>
  <sheetData>
    <row r="1" spans="1:4" ht="18.75" x14ac:dyDescent="0.25">
      <c r="A1" s="19" t="s">
        <v>9</v>
      </c>
      <c r="B1" s="20"/>
      <c r="C1" s="20"/>
      <c r="D1" s="20"/>
    </row>
    <row r="2" spans="1:4" x14ac:dyDescent="0.25">
      <c r="A2" s="20"/>
      <c r="B2" s="21" t="s">
        <v>104</v>
      </c>
      <c r="C2" s="32" t="s">
        <v>100</v>
      </c>
      <c r="D2" s="20"/>
    </row>
    <row r="3" spans="1:4" ht="25.5" x14ac:dyDescent="0.25">
      <c r="A3" s="21" t="s">
        <v>105</v>
      </c>
      <c r="B3" s="29" t="s">
        <v>147</v>
      </c>
      <c r="C3" s="29" t="s">
        <v>551</v>
      </c>
      <c r="D3" s="29" t="s">
        <v>552</v>
      </c>
    </row>
    <row r="4" spans="1:4" ht="25.5" x14ac:dyDescent="0.25">
      <c r="A4" s="21" t="s">
        <v>125</v>
      </c>
      <c r="B4" s="30" t="s">
        <v>126</v>
      </c>
      <c r="C4" s="30" t="s">
        <v>306</v>
      </c>
      <c r="D4" s="30" t="s">
        <v>293</v>
      </c>
    </row>
    <row r="5" spans="1:4" ht="76.5" x14ac:dyDescent="0.25">
      <c r="A5" s="28" t="s">
        <v>150</v>
      </c>
      <c r="B5" s="27" t="s">
        <v>171</v>
      </c>
      <c r="C5" s="27" t="s">
        <v>517</v>
      </c>
      <c r="D5" s="68" t="s">
        <v>1005</v>
      </c>
    </row>
    <row r="6" spans="1:4" hidden="1" x14ac:dyDescent="0.25">
      <c r="A6" s="22" t="s">
        <v>1001</v>
      </c>
      <c r="B6" s="76"/>
      <c r="C6" s="81"/>
      <c r="D6" s="81"/>
    </row>
    <row r="7" spans="1:4" x14ac:dyDescent="0.25">
      <c r="A7" s="22" t="s">
        <v>145</v>
      </c>
      <c r="B7" s="33"/>
      <c r="C7" s="25"/>
      <c r="D7" s="66"/>
    </row>
    <row r="8" spans="1:4" x14ac:dyDescent="0.25">
      <c r="A8" s="22" t="s">
        <v>145</v>
      </c>
      <c r="B8" s="33"/>
      <c r="C8" s="25"/>
      <c r="D8" s="66"/>
    </row>
  </sheetData>
  <conditionalFormatting sqref="A6:A7">
    <cfRule type="containsText" dxfId="300" priority="5" operator="containsText" text="ADD">
      <formula>NOT(ISERROR(SEARCH("ADD",A6)))</formula>
    </cfRule>
  </conditionalFormatting>
  <conditionalFormatting sqref="A6:A7">
    <cfRule type="containsText" dxfId="299" priority="2" operator="containsText" text="DELETE">
      <formula>NOT(ISERROR(SEARCH("DELETE",A6)))</formula>
    </cfRule>
    <cfRule type="containsText" dxfId="298" priority="3" operator="containsText" text="MODIFY">
      <formula>NOT(ISERROR(SEARCH("MODIFY",A6)))</formula>
    </cfRule>
    <cfRule type="containsText" dxfId="297" priority="4" operator="containsText" text="No ACTION">
      <formula>NOT(ISERROR(SEARCH("No ACTION",A6)))</formula>
    </cfRule>
  </conditionalFormatting>
  <conditionalFormatting sqref="A8">
    <cfRule type="containsText" dxfId="296" priority="9" operator="containsText" text="ADD">
      <formula>NOT(ISERROR(SEARCH("ADD",A8)))</formula>
    </cfRule>
  </conditionalFormatting>
  <conditionalFormatting sqref="A8">
    <cfRule type="containsText" dxfId="295" priority="6" operator="containsText" text="DELETE">
      <formula>NOT(ISERROR(SEARCH("DELETE",A8)))</formula>
    </cfRule>
    <cfRule type="containsText" dxfId="294" priority="7" operator="containsText" text="MODIFY">
      <formula>NOT(ISERROR(SEARCH("MODIFY",A8)))</formula>
    </cfRule>
    <cfRule type="containsText" dxfId="293" priority="8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999" sqref="C6:C8">
      <formula1>0</formula1>
      <formula2>999</formula2>
    </dataValidation>
    <dataValidation type="textLength" allowBlank="1" showInputMessage="1" showErrorMessage="1" error=" Length Range: 1..15" sqref="D6:D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G8"/>
  <sheetViews>
    <sheetView workbookViewId="0"/>
  </sheetViews>
  <sheetFormatPr defaultColWidth="47.140625" defaultRowHeight="15" x14ac:dyDescent="0.25"/>
  <cols>
    <col min="1" max="1" width="13.5703125" customWidth="1"/>
    <col min="2" max="2" width="10.5703125" bestFit="1" customWidth="1"/>
    <col min="3" max="3" width="14.140625" bestFit="1" customWidth="1"/>
    <col min="4" max="4" width="28.140625" bestFit="1" customWidth="1"/>
    <col min="5" max="5" width="28.42578125" bestFit="1" customWidth="1"/>
    <col min="6" max="6" width="28.7109375" bestFit="1" customWidth="1"/>
    <col min="7" max="7" width="30.42578125" bestFit="1" customWidth="1"/>
  </cols>
  <sheetData>
    <row r="1" spans="1:7" ht="19.5" thickBot="1" x14ac:dyDescent="0.3">
      <c r="A1" s="19" t="s">
        <v>9</v>
      </c>
      <c r="B1" s="20"/>
      <c r="C1" s="20"/>
      <c r="D1" s="20"/>
      <c r="E1" s="20"/>
      <c r="F1" s="20"/>
      <c r="G1" s="20"/>
    </row>
    <row r="2" spans="1:7" ht="26.25" thickBot="1" x14ac:dyDescent="0.3">
      <c r="A2" s="20"/>
      <c r="B2" s="21" t="s">
        <v>104</v>
      </c>
      <c r="C2" s="32" t="s">
        <v>302</v>
      </c>
      <c r="D2" s="20"/>
      <c r="E2" s="376" t="s">
        <v>1002</v>
      </c>
      <c r="F2" s="377"/>
      <c r="G2" s="378"/>
    </row>
    <row r="3" spans="1:7" ht="25.5" x14ac:dyDescent="0.25">
      <c r="A3" s="21" t="s">
        <v>105</v>
      </c>
      <c r="B3" s="29" t="s">
        <v>147</v>
      </c>
      <c r="C3" s="29" t="s">
        <v>551</v>
      </c>
      <c r="D3" s="53" t="s">
        <v>552</v>
      </c>
      <c r="E3" s="55" t="s">
        <v>303</v>
      </c>
      <c r="F3" s="52" t="s">
        <v>304</v>
      </c>
      <c r="G3" s="56" t="s">
        <v>305</v>
      </c>
    </row>
    <row r="4" spans="1:7" ht="25.5" x14ac:dyDescent="0.25">
      <c r="A4" s="21" t="s">
        <v>125</v>
      </c>
      <c r="B4" s="30" t="s">
        <v>126</v>
      </c>
      <c r="C4" s="30" t="s">
        <v>306</v>
      </c>
      <c r="D4" s="54" t="s">
        <v>293</v>
      </c>
      <c r="E4" s="57" t="s">
        <v>299</v>
      </c>
      <c r="F4" s="31" t="s">
        <v>300</v>
      </c>
      <c r="G4" s="58" t="s">
        <v>301</v>
      </c>
    </row>
    <row r="5" spans="1:7" ht="77.25" thickBot="1" x14ac:dyDescent="0.3">
      <c r="A5" s="28" t="s">
        <v>150</v>
      </c>
      <c r="B5" s="27" t="s">
        <v>171</v>
      </c>
      <c r="C5" s="67" t="s">
        <v>937</v>
      </c>
      <c r="D5" s="68" t="s">
        <v>1005</v>
      </c>
      <c r="E5" s="59" t="s">
        <v>553</v>
      </c>
      <c r="F5" s="60" t="s">
        <v>553</v>
      </c>
      <c r="G5" s="61" t="s">
        <v>554</v>
      </c>
    </row>
    <row r="6" spans="1:7" hidden="1" x14ac:dyDescent="0.25">
      <c r="A6" s="22" t="s">
        <v>1001</v>
      </c>
      <c r="B6" s="76"/>
      <c r="C6" s="81"/>
      <c r="D6" s="81"/>
      <c r="E6" s="81"/>
      <c r="F6" s="81"/>
      <c r="G6" s="81"/>
    </row>
    <row r="7" spans="1:7" x14ac:dyDescent="0.25">
      <c r="A7" s="22" t="s">
        <v>145</v>
      </c>
      <c r="B7" s="33"/>
      <c r="C7" s="66"/>
      <c r="D7" s="66"/>
      <c r="E7" s="25"/>
      <c r="F7" s="25"/>
      <c r="G7" s="25"/>
    </row>
    <row r="8" spans="1:7" x14ac:dyDescent="0.25">
      <c r="A8" s="22" t="s">
        <v>145</v>
      </c>
      <c r="B8" s="33"/>
      <c r="C8" s="66"/>
      <c r="D8" s="66"/>
      <c r="E8" s="25"/>
      <c r="F8" s="40"/>
      <c r="G8" s="25"/>
    </row>
  </sheetData>
  <mergeCells count="1">
    <mergeCell ref="E2:G2"/>
  </mergeCells>
  <conditionalFormatting sqref="A6:A7">
    <cfRule type="containsText" dxfId="292" priority="4" operator="containsText" text="ADD">
      <formula>NOT(ISERROR(SEARCH("ADD",A6)))</formula>
    </cfRule>
  </conditionalFormatting>
  <conditionalFormatting sqref="A6:A7">
    <cfRule type="containsText" dxfId="291" priority="1" operator="containsText" text="DELETE">
      <formula>NOT(ISERROR(SEARCH("DELETE",A6)))</formula>
    </cfRule>
    <cfRule type="containsText" dxfId="290" priority="2" operator="containsText" text="MODIFY">
      <formula>NOT(ISERROR(SEARCH("MODIFY",A6)))</formula>
    </cfRule>
    <cfRule type="containsText" dxfId="289" priority="3" operator="containsText" text="No ACTION">
      <formula>NOT(ISERROR(SEARCH("No ACTION",A6)))</formula>
    </cfRule>
  </conditionalFormatting>
  <conditionalFormatting sqref="A8">
    <cfRule type="containsText" dxfId="288" priority="8" operator="containsText" text="ADD">
      <formula>NOT(ISERROR(SEARCH("ADD",A8)))</formula>
    </cfRule>
  </conditionalFormatting>
  <conditionalFormatting sqref="A8">
    <cfRule type="containsText" dxfId="287" priority="5" operator="containsText" text="DELETE">
      <formula>NOT(ISERROR(SEARCH("DELETE",A8)))</formula>
    </cfRule>
    <cfRule type="containsText" dxfId="286" priority="6" operator="containsText" text="MODIFY">
      <formula>NOT(ISERROR(SEARCH("MODIFY",A8)))</formula>
    </cfRule>
    <cfRule type="containsText" dxfId="285" priority="7" operator="containsText" text="No ACTION">
      <formula>NOT(ISERROR(SEARCH("No ACTION",A8)))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E6:F8">
      <formula1>"IMSI,MSISDN,HLR-NUM,VLR-NUM"</formula1>
    </dataValidation>
    <dataValidation type="list" allowBlank="1" showInputMessage="1" showErrorMessage="1" sqref="G6:G8">
      <formula1>"Send MSISDN in OEN in BSA,Send HLR NUM in OEN in BSA,Send VLR NUM in OEN in BSA"</formula1>
    </dataValidation>
    <dataValidation type="textLength" allowBlank="1" showInputMessage="1" showErrorMessage="1" error="Value Range: 0..999" sqref="C6:C8">
      <formula1>0</formula1>
      <formula2>15</formula2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 Length Range: 1..15" sqref="D6:D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I6"/>
  <sheetViews>
    <sheetView workbookViewId="0">
      <selection activeCell="C17" sqref="C17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</cols>
  <sheetData>
    <row r="1" spans="1:9" ht="18.75" x14ac:dyDescent="0.25">
      <c r="A1" s="19" t="s">
        <v>9</v>
      </c>
      <c r="B1" s="20"/>
      <c r="C1" s="20"/>
    </row>
    <row r="2" spans="1:9" x14ac:dyDescent="0.25">
      <c r="A2" s="20"/>
      <c r="B2" s="21" t="s">
        <v>104</v>
      </c>
      <c r="C2" s="32" t="s">
        <v>429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</row>
    <row r="3" spans="1:9" ht="25.5" x14ac:dyDescent="0.25">
      <c r="A3" s="21" t="s">
        <v>105</v>
      </c>
      <c r="B3" s="29" t="s">
        <v>551</v>
      </c>
      <c r="C3" s="29" t="s">
        <v>552</v>
      </c>
    </row>
    <row r="4" spans="1:9" ht="25.5" x14ac:dyDescent="0.25">
      <c r="A4" s="21" t="s">
        <v>125</v>
      </c>
      <c r="B4" s="30" t="s">
        <v>126</v>
      </c>
      <c r="C4" s="30" t="s">
        <v>293</v>
      </c>
    </row>
    <row r="5" spans="1:9" ht="76.5" hidden="1" x14ac:dyDescent="0.25">
      <c r="A5" s="28" t="s">
        <v>1152</v>
      </c>
      <c r="B5" s="27" t="s">
        <v>1363</v>
      </c>
      <c r="C5" s="68" t="s">
        <v>1005</v>
      </c>
    </row>
    <row r="6" spans="1:9" hidden="1" x14ac:dyDescent="0.25">
      <c r="A6" s="22" t="s">
        <v>1001</v>
      </c>
      <c r="B6" s="76"/>
      <c r="C6" s="81"/>
    </row>
  </sheetData>
  <conditionalFormatting sqref="A6">
    <cfRule type="containsText" dxfId="284" priority="4" operator="containsText" text="ADD">
      <formula>NOT(ISERROR(SEARCH("ADD",A6)))</formula>
    </cfRule>
  </conditionalFormatting>
  <conditionalFormatting sqref="A6">
    <cfRule type="containsText" dxfId="283" priority="1" operator="containsText" text="DELETE">
      <formula>NOT(ISERROR(SEARCH("DELETE",A6)))</formula>
    </cfRule>
    <cfRule type="containsText" dxfId="282" priority="2" operator="containsText" text="MODIFY">
      <formula>NOT(ISERROR(SEARCH("MODIFY",A6)))</formula>
    </cfRule>
    <cfRule type="containsText" dxfId="281" priority="3" operator="containsText" text="No ACTION">
      <formula>NOT(ISERROR(SEARCH("No ACTION",A6)))</formula>
    </cfRule>
  </conditionalFormatting>
  <dataValidations count="3">
    <dataValidation type="list" showInputMessage="1" showErrorMessage="1" sqref="A6">
      <formula1>"ADD,MODIFY,DELETE,NO ACTION"</formula1>
    </dataValidation>
    <dataValidation type="whole" allowBlank="1" showInputMessage="1" showErrorMessage="1" error="Value Range: 0..999" sqref="B6">
      <formula1>0</formula1>
      <formula2>999</formula2>
    </dataValidation>
    <dataValidation type="textLength" allowBlank="1" showInputMessage="1" showErrorMessage="1" error=" Length Range: 1..15" sqref="C6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F8"/>
  <sheetViews>
    <sheetView workbookViewId="0">
      <selection activeCell="C18" sqref="C18"/>
    </sheetView>
  </sheetViews>
  <sheetFormatPr defaultColWidth="47.140625" defaultRowHeight="15" x14ac:dyDescent="0.25"/>
  <cols>
    <col min="1" max="1" width="13.5703125" customWidth="1"/>
    <col min="2" max="2" width="10.5703125" customWidth="1"/>
    <col min="3" max="3" width="28.140625" bestFit="1" customWidth="1"/>
    <col min="4" max="4" width="28.140625" customWidth="1"/>
    <col min="5" max="5" width="28.42578125" customWidth="1"/>
    <col min="6" max="6" width="23.85546875" bestFit="1" customWidth="1"/>
  </cols>
  <sheetData>
    <row r="1" spans="1:6" ht="18.75" x14ac:dyDescent="0.25">
      <c r="A1" s="19" t="s">
        <v>9</v>
      </c>
      <c r="B1" s="20"/>
      <c r="C1" s="20"/>
      <c r="D1" s="20"/>
      <c r="E1" s="20"/>
      <c r="F1" s="20"/>
    </row>
    <row r="2" spans="1:6" ht="25.5" x14ac:dyDescent="0.25">
      <c r="A2" s="20"/>
      <c r="B2" s="21" t="s">
        <v>104</v>
      </c>
      <c r="C2" s="32" t="s">
        <v>15</v>
      </c>
      <c r="D2" s="20"/>
      <c r="E2" s="20"/>
      <c r="F2" s="20"/>
    </row>
    <row r="3" spans="1:6" ht="25.5" x14ac:dyDescent="0.25">
      <c r="A3" s="21" t="s">
        <v>105</v>
      </c>
      <c r="B3" s="29" t="s">
        <v>551</v>
      </c>
      <c r="C3" s="29" t="s">
        <v>552</v>
      </c>
      <c r="D3" s="30" t="s">
        <v>303</v>
      </c>
      <c r="E3" s="30" t="s">
        <v>304</v>
      </c>
      <c r="F3" s="30" t="s">
        <v>305</v>
      </c>
    </row>
    <row r="4" spans="1:6" ht="25.5" x14ac:dyDescent="0.25">
      <c r="A4" s="21" t="s">
        <v>125</v>
      </c>
      <c r="B4" s="30" t="s">
        <v>126</v>
      </c>
      <c r="C4" s="30" t="s">
        <v>293</v>
      </c>
      <c r="D4" s="31" t="s">
        <v>299</v>
      </c>
      <c r="E4" s="31" t="s">
        <v>300</v>
      </c>
      <c r="F4" s="31" t="s">
        <v>301</v>
      </c>
    </row>
    <row r="5" spans="1:6" ht="76.5" x14ac:dyDescent="0.25">
      <c r="A5" s="28" t="s">
        <v>150</v>
      </c>
      <c r="B5" s="27" t="s">
        <v>937</v>
      </c>
      <c r="C5" s="68" t="s">
        <v>1005</v>
      </c>
      <c r="D5" s="31" t="s">
        <v>553</v>
      </c>
      <c r="E5" s="31" t="s">
        <v>553</v>
      </c>
      <c r="F5" s="31" t="s">
        <v>554</v>
      </c>
    </row>
    <row r="6" spans="1:6" hidden="1" x14ac:dyDescent="0.25">
      <c r="A6" s="22" t="s">
        <v>1001</v>
      </c>
      <c r="B6" s="76"/>
      <c r="C6" s="81"/>
      <c r="D6" s="81"/>
      <c r="E6" s="81"/>
      <c r="F6" s="81"/>
    </row>
    <row r="7" spans="1:6" x14ac:dyDescent="0.25">
      <c r="A7" s="22" t="s">
        <v>145</v>
      </c>
      <c r="B7" s="87">
        <v>243</v>
      </c>
      <c r="C7" s="66"/>
      <c r="D7" s="88" t="s">
        <v>747</v>
      </c>
      <c r="E7" s="88" t="s">
        <v>748</v>
      </c>
      <c r="F7" s="25"/>
    </row>
    <row r="8" spans="1:6" x14ac:dyDescent="0.25">
      <c r="A8" s="22" t="s">
        <v>145</v>
      </c>
      <c r="B8" s="87">
        <v>123</v>
      </c>
      <c r="C8" s="66"/>
      <c r="D8" s="88" t="s">
        <v>748</v>
      </c>
      <c r="E8" s="40"/>
      <c r="F8" s="88" t="s">
        <v>749</v>
      </c>
    </row>
  </sheetData>
  <conditionalFormatting sqref="A6:A7">
    <cfRule type="containsText" dxfId="280" priority="4" operator="containsText" text="ADD">
      <formula>NOT(ISERROR(SEARCH("ADD",A6)))</formula>
    </cfRule>
  </conditionalFormatting>
  <conditionalFormatting sqref="A6:A7">
    <cfRule type="containsText" dxfId="279" priority="1" operator="containsText" text="DELETE">
      <formula>NOT(ISERROR(SEARCH("DELETE",A6)))</formula>
    </cfRule>
    <cfRule type="containsText" dxfId="278" priority="2" operator="containsText" text="MODIFY">
      <formula>NOT(ISERROR(SEARCH("MODIFY",A6)))</formula>
    </cfRule>
    <cfRule type="containsText" dxfId="277" priority="3" operator="containsText" text="No ACTION">
      <formula>NOT(ISERROR(SEARCH("No ACTION",A6)))</formula>
    </cfRule>
  </conditionalFormatting>
  <conditionalFormatting sqref="A8">
    <cfRule type="containsText" dxfId="276" priority="8" operator="containsText" text="ADD">
      <formula>NOT(ISERROR(SEARCH("ADD",A8)))</formula>
    </cfRule>
  </conditionalFormatting>
  <conditionalFormatting sqref="A8">
    <cfRule type="containsText" dxfId="275" priority="5" operator="containsText" text="DELETE">
      <formula>NOT(ISERROR(SEARCH("DELETE",A8)))</formula>
    </cfRule>
    <cfRule type="containsText" dxfId="274" priority="6" operator="containsText" text="MODIFY">
      <formula>NOT(ISERROR(SEARCH("MODIFY",A8)))</formula>
    </cfRule>
    <cfRule type="containsText" dxfId="273" priority="7" operator="containsText" text="No ACTION">
      <formula>NOT(ISERROR(SEARCH("No ACTION",A8)))</formula>
    </cfRule>
  </conditionalFormatting>
  <dataValidations count="5">
    <dataValidation type="list" showInputMessage="1" showErrorMessage="1" sqref="A6:A8">
      <formula1>"ADD,MODIFY,DELETE,NO ACTION"</formula1>
    </dataValidation>
    <dataValidation type="list" allowBlank="1" showInputMessage="1" showErrorMessage="1" sqref="F6:F8">
      <formula1>"Send MSISDN in OEN in BSA,Send HLR NUM in OEN in BSA,Send VLR NUM in OEN in BSA"</formula1>
    </dataValidation>
    <dataValidation type="list" allowBlank="1" showInputMessage="1" showErrorMessage="1" sqref="D6:E8">
      <formula1>"IMSI,MSISDN,HLR-NUM,VLR-NUM"</formula1>
    </dataValidation>
    <dataValidation type="textLength" allowBlank="1" showInputMessage="1" showErrorMessage="1" errorTitle="Please Correct the values" error="Length Range: 1..15" sqref="B6:B8">
      <formula1>0</formula1>
      <formula2>15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D8"/>
  <sheetViews>
    <sheetView workbookViewId="0">
      <selection activeCell="B7" sqref="B7:D8"/>
    </sheetView>
  </sheetViews>
  <sheetFormatPr defaultColWidth="47.140625" defaultRowHeight="15" x14ac:dyDescent="0.25"/>
  <cols>
    <col min="1" max="1" width="13.5703125" customWidth="1"/>
    <col min="2" max="2" width="10.5703125" customWidth="1"/>
    <col min="3" max="4" width="28.140625" customWidth="1"/>
  </cols>
  <sheetData>
    <row r="1" spans="1:4" ht="18.75" x14ac:dyDescent="0.25">
      <c r="A1" s="19" t="s">
        <v>9</v>
      </c>
      <c r="B1" s="20"/>
      <c r="C1" s="20"/>
      <c r="D1" s="20"/>
    </row>
    <row r="2" spans="1:4" ht="25.5" x14ac:dyDescent="0.25">
      <c r="A2" s="20"/>
      <c r="B2" s="21" t="s">
        <v>104</v>
      </c>
      <c r="C2" s="32" t="s">
        <v>62</v>
      </c>
      <c r="D2" s="20"/>
    </row>
    <row r="3" spans="1:4" ht="25.5" x14ac:dyDescent="0.25">
      <c r="A3" s="21" t="s">
        <v>105</v>
      </c>
      <c r="B3" s="29" t="s">
        <v>555</v>
      </c>
      <c r="C3" s="29" t="s">
        <v>556</v>
      </c>
      <c r="D3" s="30" t="s">
        <v>557</v>
      </c>
    </row>
    <row r="4" spans="1:4" ht="25.5" x14ac:dyDescent="0.25">
      <c r="A4" s="21" t="s">
        <v>125</v>
      </c>
      <c r="B4" s="30" t="s">
        <v>126</v>
      </c>
      <c r="C4" s="30" t="s">
        <v>558</v>
      </c>
      <c r="D4" s="30" t="s">
        <v>559</v>
      </c>
    </row>
    <row r="5" spans="1:4" ht="76.5" x14ac:dyDescent="0.25">
      <c r="A5" s="28" t="s">
        <v>150</v>
      </c>
      <c r="B5" s="27" t="s">
        <v>517</v>
      </c>
      <c r="C5" s="68" t="s">
        <v>1005</v>
      </c>
      <c r="D5" s="27" t="s">
        <v>560</v>
      </c>
    </row>
    <row r="6" spans="1:4" hidden="1" x14ac:dyDescent="0.25">
      <c r="A6" s="22" t="s">
        <v>1001</v>
      </c>
      <c r="B6" s="76"/>
      <c r="C6" s="81"/>
      <c r="D6" s="81"/>
    </row>
    <row r="7" spans="1:4" x14ac:dyDescent="0.25">
      <c r="A7" s="22" t="s">
        <v>145</v>
      </c>
      <c r="B7" s="33"/>
      <c r="C7" s="66"/>
      <c r="D7" s="25"/>
    </row>
    <row r="8" spans="1:4" x14ac:dyDescent="0.25">
      <c r="A8" s="22" t="s">
        <v>145</v>
      </c>
      <c r="B8" s="33"/>
      <c r="C8" s="66"/>
      <c r="D8" s="25"/>
    </row>
  </sheetData>
  <conditionalFormatting sqref="A6:A7">
    <cfRule type="containsText" dxfId="272" priority="4" operator="containsText" text="ADD">
      <formula>NOT(ISERROR(SEARCH("ADD",A6)))</formula>
    </cfRule>
  </conditionalFormatting>
  <conditionalFormatting sqref="A6:A7">
    <cfRule type="containsText" dxfId="271" priority="1" operator="containsText" text="DELETE">
      <formula>NOT(ISERROR(SEARCH("DELETE",A6)))</formula>
    </cfRule>
    <cfRule type="containsText" dxfId="270" priority="2" operator="containsText" text="MODIFY">
      <formula>NOT(ISERROR(SEARCH("MODIFY",A6)))</formula>
    </cfRule>
    <cfRule type="containsText" dxfId="269" priority="3" operator="containsText" text="No ACTION">
      <formula>NOT(ISERROR(SEARCH("No ACTION",A6)))</formula>
    </cfRule>
  </conditionalFormatting>
  <conditionalFormatting sqref="A8">
    <cfRule type="containsText" dxfId="268" priority="8" operator="containsText" text="ADD">
      <formula>NOT(ISERROR(SEARCH("ADD",A8)))</formula>
    </cfRule>
  </conditionalFormatting>
  <conditionalFormatting sqref="A8">
    <cfRule type="containsText" dxfId="267" priority="5" operator="containsText" text="DELETE">
      <formula>NOT(ISERROR(SEARCH("DELETE",A8)))</formula>
    </cfRule>
    <cfRule type="containsText" dxfId="266" priority="6" operator="containsText" text="MODIFY">
      <formula>NOT(ISERROR(SEARCH("MODIFY",A8)))</formula>
    </cfRule>
    <cfRule type="containsText" dxfId="265" priority="7" operator="containsText" text="No ACTION">
      <formula>NOT(ISERROR(SEARCH("No ACTION",A8)))</formula>
    </cfRule>
  </conditionalFormatting>
  <dataValidations count="4">
    <dataValidation type="list" showInputMessage="1" showErrorMessage="1" sqref="A6:A8">
      <formula1>"ADD,MODIFY,DELETE,NO ACTION"</formula1>
    </dataValidation>
    <dataValidation type="decimal" allowBlank="1" showInputMessage="1" showErrorMessage="1" errorTitle="Please Correct the values" error="Value Range: 0..999" promptTitle="Aceptable Values" prompt="Value Range: 0..999" sqref="B6:B8">
      <formula1>0</formula1>
      <formula2>999</formula2>
    </dataValidation>
    <dataValidation type="textLength" allowBlank="1" showInputMessage="1" showErrorMessage="1" error="String:_x000a_1..8 characters" prompt="String:_x000a_1..8 characters" sqref="D6:D8">
      <formula1>0</formula1>
      <formula2>8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9"/>
  <sheetViews>
    <sheetView workbookViewId="0">
      <selection activeCell="B8" sqref="B8"/>
    </sheetView>
  </sheetViews>
  <sheetFormatPr defaultColWidth="47.140625" defaultRowHeight="17.100000000000001" customHeight="1" x14ac:dyDescent="0.25"/>
  <cols>
    <col min="1" max="1" width="13.5703125" customWidth="1"/>
    <col min="2" max="2" width="15" customWidth="1"/>
    <col min="3" max="3" width="13.7109375" bestFit="1" customWidth="1"/>
    <col min="4" max="4" width="37.7109375" bestFit="1" customWidth="1"/>
    <col min="5" max="5" width="27.5703125" style="20" customWidth="1"/>
    <col min="6" max="6" width="17.85546875" style="20" bestFit="1" customWidth="1"/>
    <col min="7" max="7" width="5.42578125" bestFit="1" customWidth="1"/>
    <col min="8" max="8" width="21.85546875" customWidth="1"/>
    <col min="9" max="9" width="17.5703125" bestFit="1" customWidth="1"/>
    <col min="10" max="10" width="14.85546875" bestFit="1" customWidth="1"/>
    <col min="11" max="11" width="16.140625" style="20" customWidth="1"/>
    <col min="12" max="12" width="26.5703125" style="20" customWidth="1"/>
  </cols>
  <sheetData>
    <row r="1" spans="1:12" ht="17.100000000000001" customHeight="1" x14ac:dyDescent="0.25">
      <c r="A1" s="19" t="s">
        <v>9</v>
      </c>
      <c r="B1" s="20"/>
      <c r="C1" s="20"/>
      <c r="D1" s="20"/>
      <c r="G1" s="20"/>
      <c r="H1" s="20"/>
      <c r="I1" s="20"/>
      <c r="J1" s="20"/>
    </row>
    <row r="2" spans="1:12" ht="17.100000000000001" customHeight="1" x14ac:dyDescent="0.25">
      <c r="A2" s="20"/>
      <c r="B2" s="21" t="s">
        <v>104</v>
      </c>
      <c r="C2" s="32" t="s">
        <v>64</v>
      </c>
      <c r="D2" s="20"/>
      <c r="G2" s="20"/>
      <c r="H2" s="20"/>
      <c r="I2" s="20"/>
      <c r="J2" s="20"/>
      <c r="K2" s="354" t="s">
        <v>964</v>
      </c>
      <c r="L2" s="354"/>
    </row>
    <row r="3" spans="1:12" ht="25.5" x14ac:dyDescent="0.25">
      <c r="A3" s="21" t="s">
        <v>105</v>
      </c>
      <c r="B3" s="29" t="s">
        <v>173</v>
      </c>
      <c r="C3" s="29" t="s">
        <v>148</v>
      </c>
      <c r="D3" s="29" t="s">
        <v>261</v>
      </c>
      <c r="E3" s="29" t="s">
        <v>149</v>
      </c>
      <c r="F3" s="29" t="s">
        <v>175</v>
      </c>
      <c r="G3" s="29" t="s">
        <v>295</v>
      </c>
      <c r="H3" s="29" t="s">
        <v>263</v>
      </c>
      <c r="I3" s="29" t="s">
        <v>264</v>
      </c>
      <c r="J3" s="29" t="s">
        <v>181</v>
      </c>
      <c r="K3" s="48" t="s">
        <v>936</v>
      </c>
      <c r="L3" s="48" t="s">
        <v>899</v>
      </c>
    </row>
    <row r="4" spans="1:12" ht="25.5" x14ac:dyDescent="0.25">
      <c r="A4" s="21" t="s">
        <v>125</v>
      </c>
      <c r="B4" s="30" t="s">
        <v>126</v>
      </c>
      <c r="C4" s="30" t="s">
        <v>179</v>
      </c>
      <c r="D4" s="30" t="s">
        <v>265</v>
      </c>
      <c r="E4" s="30" t="s">
        <v>460</v>
      </c>
      <c r="F4" s="30" t="s">
        <v>176</v>
      </c>
      <c r="G4" s="30"/>
      <c r="H4" s="30" t="s">
        <v>183</v>
      </c>
      <c r="I4" s="30" t="s">
        <v>184</v>
      </c>
      <c r="J4" s="30" t="s">
        <v>185</v>
      </c>
      <c r="K4" s="34" t="s">
        <v>769</v>
      </c>
      <c r="L4" s="34" t="s">
        <v>770</v>
      </c>
    </row>
    <row r="5" spans="1:12" ht="98.45" customHeight="1" x14ac:dyDescent="0.25">
      <c r="A5" s="28" t="s">
        <v>150</v>
      </c>
      <c r="B5" s="67" t="s">
        <v>171</v>
      </c>
      <c r="C5" s="31" t="s">
        <v>1009</v>
      </c>
      <c r="D5" s="31" t="s">
        <v>561</v>
      </c>
      <c r="E5" s="31" t="s">
        <v>472</v>
      </c>
      <c r="F5" s="27">
        <v>3.4</v>
      </c>
      <c r="G5" s="27" t="s">
        <v>549</v>
      </c>
      <c r="H5" s="68" t="s">
        <v>1005</v>
      </c>
      <c r="I5" s="68" t="s">
        <v>1006</v>
      </c>
      <c r="J5" s="68" t="s">
        <v>502</v>
      </c>
      <c r="K5" s="49" t="str">
        <f>_xlfn.TEXTJOIN(";",TRUE,refValues!F2:F128)</f>
        <v>TS10-telephony;TS20-shortMessage;TS60-fax;BS20-dataAsync;BS30-dataSync;BS40-padAccess;TS11;TS12;TS21;TS22;TS61;TS62;VGCS;VBS;BS20GENR;BS21;BS22;BS23;BS24;BS25;BS26;BS30GENR;BS31;BS32;BS33;BS34;BS40GENR;BS41;BS42;BS44;BS45;BS46;BS61A;BS81A;AllTeleservices;AllBearerServices</v>
      </c>
      <c r="L5" s="49" t="str">
        <f>_xlfn.TEXTJOIN(";",TRUE,refValues!E2:E128)</f>
        <v>unAllocatedNumber;noRouteToSpecificTransitNetwork;noRouteToDestination;sendSpecialInfoTone;misDialedTrunkPrefix;channelUnAcceptable;callAwardedBeingDelivered;preemption;preemptionReservedForReuse;normalCallClearing;userBusy;noUserResponding;noAnswerFromUser;subscriberAbsent;callRejected;numberChanged;redirectionToNewDestination;exchangeRoutingError;nonSelectedUserClearing;destinationOutOfOrder;invalidNumberFormat;facilityRejected;noResponseToStatusEnquiry;normalUnspecified;noCurcuitChannelAvailable;networkOutOfOrder;connectionOutOfService;connectionOperational;temporaryFailure;switchingEquipmentCongestion;accessInfoDiscarded;requestedCurcuitChannelNotAvailable;precedenceCallBlocked;resourceUnAvailable;qualityOfServiceNotAvailable;requestedFacilityNotAvailable;barringOutgoingCallWithinCug;barringIncomingCallWithinCug;bearerCapabilityNotAuthorized;bearerCapabilityNotAvailable;inconsistency;serviceOrOptionNotAvailable;bearerCapabilityNotImplemented;channelTypeNotImplemented;requestedFaclityNotImplemented;onlyRestrictedInfoAvailable;serviceOrOptionNotImplemted;invalidCallReferenceValue;channelIdDoesNotExist;suspendedCallExists;callIdentityInUse;noCallSuspended;requestedCallIdCleared;userIsNotMemberOfCug;incompatibleDestination;nonExistentClosedUserGroup;invalidTransitNetworkSelection;invalidMessage;mandatoryInfoElementMissing;messageTypeNonExistent;messageNotCompatible;infoElementParameterNonExistent;invalidInfoElementContent;messageNotCompatibleWithCallState;recoveryOnTimeExpiry;parameterNonExistentPassedOn;messageDiscarded;protocolErrorUnSpecified;interworkingUnSpecified;reservedCause10;reservedCause11;reservedCause12;reservedCause13;reservedCause14;reservedCause15;reservedCause24;reservedCause32;reservedCause33;reservedCause35;reservedCause36;reservedCause37;reservedCause45;reservedCause48;reservedCause51;reservedCause52;reservedCause54;reservedCause56;reservedCause59;reservedCause60;reservedCause61;reservedCause64;reservedCause67;reservedCause68;reservedCause71;reservedCause72;reservedCause73;reservedCause74;reservedCause75;reservedCause76;reservedCause77;reservedCause78;reservedCause80;reservedCause89;reservedCause92;reservedCause93;reservedCause94;reservedCause104;reservedCause105;reservedCause106;reservedCause107;reservedCause108;reservedCause109;reservedCause112;reservedCause113;reservedCause114;reservedCause115;reservedCause116;reservedCause117;reservedCause118;reservedCause119;reservedCause120;reservedCause121;reservedCause122;reservedCause123;reservedCause124;reservedCause125;reservedCause126</v>
      </c>
    </row>
    <row r="6" spans="1:12" ht="15" hidden="1" x14ac:dyDescent="0.25">
      <c r="A6" s="22" t="s">
        <v>1001</v>
      </c>
      <c r="B6" s="76"/>
      <c r="C6" s="81"/>
      <c r="D6" s="81"/>
      <c r="E6" s="81"/>
      <c r="F6" s="81"/>
      <c r="G6" s="81"/>
      <c r="H6" s="81"/>
      <c r="I6" s="81"/>
      <c r="J6" s="77"/>
      <c r="K6" s="81"/>
      <c r="L6" s="81"/>
    </row>
    <row r="7" spans="1:12" ht="15" x14ac:dyDescent="0.25">
      <c r="A7" s="22" t="s">
        <v>145</v>
      </c>
      <c r="B7" s="87" t="s">
        <v>948</v>
      </c>
      <c r="C7" s="25"/>
      <c r="D7" s="25"/>
      <c r="E7" s="25"/>
      <c r="F7" s="25"/>
      <c r="G7" s="25"/>
      <c r="H7" s="88">
        <v>2345</v>
      </c>
      <c r="I7" s="88">
        <v>324234</v>
      </c>
      <c r="J7" s="88" t="s">
        <v>500</v>
      </c>
      <c r="K7" s="50"/>
      <c r="L7" s="50"/>
    </row>
    <row r="8" spans="1:12" ht="15" x14ac:dyDescent="0.25">
      <c r="A8" s="22" t="s">
        <v>145</v>
      </c>
      <c r="B8" s="87" t="s">
        <v>949</v>
      </c>
      <c r="C8" s="25"/>
      <c r="D8" s="25"/>
      <c r="E8" s="25"/>
      <c r="F8" s="25"/>
      <c r="G8" s="25"/>
      <c r="H8" s="66"/>
      <c r="I8" s="66"/>
      <c r="J8" s="70"/>
      <c r="K8" s="50"/>
      <c r="L8" s="50"/>
    </row>
    <row r="9" spans="1:12" ht="17.100000000000001" customHeight="1" x14ac:dyDescent="0.25">
      <c r="K9" s="50"/>
      <c r="L9" s="50"/>
    </row>
  </sheetData>
  <mergeCells count="1">
    <mergeCell ref="K2:L2"/>
  </mergeCells>
  <conditionalFormatting sqref="A6:A7">
    <cfRule type="containsText" dxfId="264" priority="9" operator="containsText" text="ADD">
      <formula>NOT(ISERROR(SEARCH("ADD",A6)))</formula>
    </cfRule>
  </conditionalFormatting>
  <conditionalFormatting sqref="A6:A7">
    <cfRule type="containsText" dxfId="263" priority="6" operator="containsText" text="DELETE">
      <formula>NOT(ISERROR(SEARCH("DELETE",A6)))</formula>
    </cfRule>
    <cfRule type="containsText" dxfId="262" priority="7" operator="containsText" text="MODIFY">
      <formula>NOT(ISERROR(SEARCH("MODIFY",A6)))</formula>
    </cfRule>
    <cfRule type="containsText" dxfId="261" priority="8" operator="containsText" text="No ACTION">
      <formula>NOT(ISERROR(SEARCH("No ACTION",A6)))</formula>
    </cfRule>
  </conditionalFormatting>
  <conditionalFormatting sqref="A8">
    <cfRule type="containsText" dxfId="260" priority="13" operator="containsText" text="ADD">
      <formula>NOT(ISERROR(SEARCH("ADD",A8)))</formula>
    </cfRule>
  </conditionalFormatting>
  <conditionalFormatting sqref="A8">
    <cfRule type="containsText" dxfId="259" priority="10" operator="containsText" text="DELETE">
      <formula>NOT(ISERROR(SEARCH("DELETE",A8)))</formula>
    </cfRule>
    <cfRule type="containsText" dxfId="258" priority="11" operator="containsText" text="MODIFY">
      <formula>NOT(ISERROR(SEARCH("MODIFY",A8)))</formula>
    </cfRule>
    <cfRule type="containsText" dxfId="257" priority="12" operator="containsText" text="No ACTION">
      <formula>NOT(ISERROR(SEARCH("No ACTION",A8)))</formula>
    </cfRule>
  </conditionalFormatting>
  <conditionalFormatting sqref="K6:K9">
    <cfRule type="expression" dxfId="256" priority="5">
      <formula>H6=""</formula>
    </cfRule>
  </conditionalFormatting>
  <conditionalFormatting sqref="L6:L9">
    <cfRule type="expression" dxfId="255" priority="4">
      <formula>I6=""</formula>
    </cfRule>
  </conditionalFormatting>
  <conditionalFormatting sqref="H6:H8">
    <cfRule type="expression" dxfId="254" priority="3">
      <formula>G6=""</formula>
    </cfRule>
  </conditionalFormatting>
  <conditionalFormatting sqref="I6:I8">
    <cfRule type="expression" dxfId="253" priority="2">
      <formula>G6=""</formula>
    </cfRule>
  </conditionalFormatting>
  <conditionalFormatting sqref="J6:J8">
    <cfRule type="expression" dxfId="252" priority="1">
      <formula>G6=""</formula>
    </cfRule>
  </conditionalFormatting>
  <dataValidations count="8">
    <dataValidation type="list" allowBlank="1" showInputMessage="1" showErrorMessage="1" sqref="J6:J8">
      <formula1>"true,false"</formula1>
    </dataValidation>
    <dataValidation type="list" allowBlank="1" showInputMessage="1" showErrorMessage="1" sqref="G6:G8">
      <formula1>"12, 13, 14"</formula1>
    </dataValidation>
    <dataValidation type="list" allowBlank="1" showInputMessage="1" showErrorMessage="1" sqref="C6:C8">
      <formula1>"allPlmn, homePlmn, noWhere, visitedPlmn"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"roamingRestrictions,noReplacement,replaceByBarringOfIncommingCalls"</formula1>
    </dataValidation>
    <dataValidation type="whole" allowBlank="1" showInputMessage="1" showErrorMessage="1" error="Value range:0..2147483647" sqref="I6:I8">
      <formula1>0</formula1>
      <formula2>2147483647</formula2>
    </dataValidation>
    <dataValidation type="textLength" allowBlank="1" showInputMessage="1" showErrorMessage="1" error="Length Range: 1..15" sqref="H6:H8">
      <formula1>0</formula1>
      <formula2>15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refValues!$B$1:$B$11</xm:f>
          </x14:formula1>
          <xm:sqref>E6:E8</xm:sqref>
        </x14:dataValidation>
        <x14:dataValidation type="list" allowBlank="1" showInputMessage="1" showErrorMessage="1">
          <x14:formula1>
            <xm:f>refValues!$E$2:$E$128</xm:f>
          </x14:formula1>
          <xm:sqref>L6:L9</xm:sqref>
        </x14:dataValidation>
        <x14:dataValidation type="list" allowBlank="1" showInputMessage="1" showErrorMessage="1">
          <x14:formula1>
            <xm:f>refValues!$F$2:$F$37</xm:f>
          </x14:formula1>
          <xm:sqref>K6:K9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bestFit="1" customWidth="1"/>
  </cols>
  <sheetData>
    <row r="1" spans="1:3" ht="18.75" x14ac:dyDescent="0.25">
      <c r="A1" s="19" t="s">
        <v>9</v>
      </c>
      <c r="B1" s="20"/>
      <c r="C1" s="20"/>
    </row>
    <row r="2" spans="1:3" x14ac:dyDescent="0.25">
      <c r="A2" s="20"/>
      <c r="B2" s="21" t="s">
        <v>104</v>
      </c>
      <c r="C2" s="32" t="s">
        <v>66</v>
      </c>
    </row>
    <row r="3" spans="1:3" ht="25.5" x14ac:dyDescent="0.25">
      <c r="A3" s="21" t="s">
        <v>105</v>
      </c>
      <c r="B3" s="29" t="s">
        <v>173</v>
      </c>
      <c r="C3" s="29" t="s">
        <v>563</v>
      </c>
    </row>
    <row r="4" spans="1:3" ht="25.5" x14ac:dyDescent="0.25">
      <c r="A4" s="21" t="s">
        <v>125</v>
      </c>
      <c r="B4" s="30" t="s">
        <v>126</v>
      </c>
      <c r="C4" s="30" t="s">
        <v>422</v>
      </c>
    </row>
    <row r="5" spans="1:3" ht="24.75" x14ac:dyDescent="0.25">
      <c r="A5" s="28" t="s">
        <v>150</v>
      </c>
      <c r="B5" s="67" t="s">
        <v>171</v>
      </c>
      <c r="C5" s="68" t="s">
        <v>517</v>
      </c>
    </row>
    <row r="6" spans="1:3" hidden="1" x14ac:dyDescent="0.25">
      <c r="A6" s="22" t="s">
        <v>1001</v>
      </c>
      <c r="B6" s="76"/>
      <c r="C6" s="81"/>
    </row>
    <row r="7" spans="1:3" x14ac:dyDescent="0.25">
      <c r="A7" s="22" t="s">
        <v>145</v>
      </c>
      <c r="B7" s="87" t="s">
        <v>948</v>
      </c>
      <c r="C7" s="66"/>
    </row>
    <row r="8" spans="1:3" x14ac:dyDescent="0.25">
      <c r="A8" s="22" t="s">
        <v>145</v>
      </c>
      <c r="B8" s="87" t="s">
        <v>949</v>
      </c>
      <c r="C8" s="66"/>
    </row>
  </sheetData>
  <conditionalFormatting sqref="A6:A7">
    <cfRule type="containsText" dxfId="251" priority="4" operator="containsText" text="ADD">
      <formula>NOT(ISERROR(SEARCH("ADD",A6)))</formula>
    </cfRule>
  </conditionalFormatting>
  <conditionalFormatting sqref="A6:A7">
    <cfRule type="containsText" dxfId="250" priority="1" operator="containsText" text="DELETE">
      <formula>NOT(ISERROR(SEARCH("DELETE",A6)))</formula>
    </cfRule>
    <cfRule type="containsText" dxfId="249" priority="2" operator="containsText" text="MODIFY">
      <formula>NOT(ISERROR(SEARCH("MODIFY",A6)))</formula>
    </cfRule>
    <cfRule type="containsText" dxfId="248" priority="3" operator="containsText" text="No ACTION">
      <formula>NOT(ISERROR(SEARCH("No ACTION",A6)))</formula>
    </cfRule>
  </conditionalFormatting>
  <conditionalFormatting sqref="A8">
    <cfRule type="containsText" dxfId="247" priority="8" operator="containsText" text="ADD">
      <formula>NOT(ISERROR(SEARCH("ADD",A8)))</formula>
    </cfRule>
  </conditionalFormatting>
  <conditionalFormatting sqref="A8">
    <cfRule type="containsText" dxfId="246" priority="5" operator="containsText" text="DELETE">
      <formula>NOT(ISERROR(SEARCH("DELETE",A8)))</formula>
    </cfRule>
    <cfRule type="containsText" dxfId="245" priority="6" operator="containsText" text="MODIFY">
      <formula>NOT(ISERROR(SEARCH("MODIFY",A8)))</formula>
    </cfRule>
    <cfRule type="containsText" dxfId="244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bestFit="1" customWidth="1"/>
  </cols>
  <sheetData>
    <row r="1" spans="1:3" ht="18.75" x14ac:dyDescent="0.25">
      <c r="A1" s="19" t="s">
        <v>9</v>
      </c>
      <c r="B1" s="20"/>
      <c r="C1" s="20"/>
    </row>
    <row r="2" spans="1:3" x14ac:dyDescent="0.25">
      <c r="A2" s="20"/>
      <c r="B2" s="21" t="s">
        <v>104</v>
      </c>
      <c r="C2" s="32" t="s">
        <v>68</v>
      </c>
    </row>
    <row r="3" spans="1:3" ht="25.5" x14ac:dyDescent="0.25">
      <c r="A3" s="21" t="s">
        <v>105</v>
      </c>
      <c r="B3" s="29" t="s">
        <v>173</v>
      </c>
      <c r="C3" s="29" t="s">
        <v>563</v>
      </c>
    </row>
    <row r="4" spans="1:3" ht="25.5" x14ac:dyDescent="0.25">
      <c r="A4" s="21" t="s">
        <v>125</v>
      </c>
      <c r="B4" s="30" t="s">
        <v>126</v>
      </c>
      <c r="C4" s="30" t="s">
        <v>422</v>
      </c>
    </row>
    <row r="5" spans="1:3" ht="24.75" x14ac:dyDescent="0.25">
      <c r="A5" s="28" t="s">
        <v>150</v>
      </c>
      <c r="B5" s="67" t="s">
        <v>171</v>
      </c>
      <c r="C5" s="68" t="s">
        <v>517</v>
      </c>
    </row>
    <row r="6" spans="1:3" hidden="1" x14ac:dyDescent="0.25">
      <c r="A6" s="22" t="s">
        <v>1001</v>
      </c>
      <c r="B6" s="76"/>
      <c r="C6" s="81"/>
    </row>
    <row r="7" spans="1:3" x14ac:dyDescent="0.25">
      <c r="A7" s="22" t="s">
        <v>145</v>
      </c>
      <c r="B7" s="87" t="s">
        <v>948</v>
      </c>
      <c r="C7" s="66"/>
    </row>
    <row r="8" spans="1:3" x14ac:dyDescent="0.25">
      <c r="A8" s="22" t="s">
        <v>145</v>
      </c>
      <c r="B8" s="87" t="s">
        <v>949</v>
      </c>
      <c r="C8" s="66"/>
    </row>
  </sheetData>
  <conditionalFormatting sqref="A6:A7">
    <cfRule type="containsText" dxfId="243" priority="4" operator="containsText" text="ADD">
      <formula>NOT(ISERROR(SEARCH("ADD",A6)))</formula>
    </cfRule>
  </conditionalFormatting>
  <conditionalFormatting sqref="A6:A7">
    <cfRule type="containsText" dxfId="242" priority="1" operator="containsText" text="DELETE">
      <formula>NOT(ISERROR(SEARCH("DELETE",A6)))</formula>
    </cfRule>
    <cfRule type="containsText" dxfId="241" priority="2" operator="containsText" text="MODIFY">
      <formula>NOT(ISERROR(SEARCH("MODIFY",A6)))</formula>
    </cfRule>
    <cfRule type="containsText" dxfId="240" priority="3" operator="containsText" text="No ACTION">
      <formula>NOT(ISERROR(SEARCH("No ACTION",A6)))</formula>
    </cfRule>
  </conditionalFormatting>
  <conditionalFormatting sqref="A8">
    <cfRule type="containsText" dxfId="239" priority="8" operator="containsText" text="ADD">
      <formula>NOT(ISERROR(SEARCH("ADD",A8)))</formula>
    </cfRule>
  </conditionalFormatting>
  <conditionalFormatting sqref="A8">
    <cfRule type="containsText" dxfId="238" priority="5" operator="containsText" text="DELETE">
      <formula>NOT(ISERROR(SEARCH("DELETE",A8)))</formula>
    </cfRule>
    <cfRule type="containsText" dxfId="237" priority="6" operator="containsText" text="MODIFY">
      <formula>NOT(ISERROR(SEARCH("MODIFY",A8)))</formula>
    </cfRule>
    <cfRule type="containsText" dxfId="236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bestFit="1" customWidth="1"/>
  </cols>
  <sheetData>
    <row r="1" spans="1:3" ht="18.75" x14ac:dyDescent="0.25">
      <c r="A1" s="19" t="s">
        <v>9</v>
      </c>
      <c r="B1" s="20"/>
      <c r="C1" s="20"/>
    </row>
    <row r="2" spans="1:3" x14ac:dyDescent="0.25">
      <c r="A2" s="20"/>
      <c r="B2" s="21" t="s">
        <v>104</v>
      </c>
      <c r="C2" s="32" t="s">
        <v>70</v>
      </c>
    </row>
    <row r="3" spans="1:3" ht="25.5" x14ac:dyDescent="0.25">
      <c r="A3" s="21" t="s">
        <v>105</v>
      </c>
      <c r="B3" s="29" t="s">
        <v>173</v>
      </c>
      <c r="C3" s="29" t="s">
        <v>563</v>
      </c>
    </row>
    <row r="4" spans="1:3" ht="25.5" x14ac:dyDescent="0.25">
      <c r="A4" s="21" t="s">
        <v>125</v>
      </c>
      <c r="B4" s="30" t="s">
        <v>126</v>
      </c>
      <c r="C4" s="30" t="s">
        <v>422</v>
      </c>
    </row>
    <row r="5" spans="1:3" ht="24.75" x14ac:dyDescent="0.25">
      <c r="A5" s="28" t="s">
        <v>150</v>
      </c>
      <c r="B5" s="67" t="s">
        <v>171</v>
      </c>
      <c r="C5" s="68" t="s">
        <v>517</v>
      </c>
    </row>
    <row r="6" spans="1:3" hidden="1" x14ac:dyDescent="0.25">
      <c r="A6" s="22" t="s">
        <v>1001</v>
      </c>
      <c r="B6" s="76"/>
      <c r="C6" s="81"/>
    </row>
    <row r="7" spans="1:3" x14ac:dyDescent="0.25">
      <c r="A7" s="22" t="s">
        <v>145</v>
      </c>
      <c r="B7" s="87" t="s">
        <v>948</v>
      </c>
      <c r="C7" s="66"/>
    </row>
    <row r="8" spans="1:3" x14ac:dyDescent="0.25">
      <c r="A8" s="22" t="s">
        <v>145</v>
      </c>
      <c r="B8" s="87" t="s">
        <v>949</v>
      </c>
      <c r="C8" s="66"/>
    </row>
  </sheetData>
  <conditionalFormatting sqref="A6:A7">
    <cfRule type="containsText" dxfId="235" priority="4" operator="containsText" text="ADD">
      <formula>NOT(ISERROR(SEARCH("ADD",A6)))</formula>
    </cfRule>
  </conditionalFormatting>
  <conditionalFormatting sqref="A6:A7">
    <cfRule type="containsText" dxfId="234" priority="1" operator="containsText" text="DELETE">
      <formula>NOT(ISERROR(SEARCH("DELETE",A6)))</formula>
    </cfRule>
    <cfRule type="containsText" dxfId="233" priority="2" operator="containsText" text="MODIFY">
      <formula>NOT(ISERROR(SEARCH("MODIFY",A6)))</formula>
    </cfRule>
    <cfRule type="containsText" dxfId="232" priority="3" operator="containsText" text="No ACTION">
      <formula>NOT(ISERROR(SEARCH("No ACTION",A6)))</formula>
    </cfRule>
  </conditionalFormatting>
  <conditionalFormatting sqref="A8">
    <cfRule type="containsText" dxfId="231" priority="8" operator="containsText" text="ADD">
      <formula>NOT(ISERROR(SEARCH("ADD",A8)))</formula>
    </cfRule>
  </conditionalFormatting>
  <conditionalFormatting sqref="A8">
    <cfRule type="containsText" dxfId="230" priority="5" operator="containsText" text="DELETE">
      <formula>NOT(ISERROR(SEARCH("DELETE",A8)))</formula>
    </cfRule>
    <cfRule type="containsText" dxfId="229" priority="6" operator="containsText" text="MODIFY">
      <formula>NOT(ISERROR(SEARCH("MODIFY",A8)))</formula>
    </cfRule>
    <cfRule type="containsText" dxfId="228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customWidth="1"/>
  </cols>
  <sheetData>
    <row r="1" spans="1:3" ht="18.75" x14ac:dyDescent="0.25">
      <c r="A1" s="19" t="s">
        <v>9</v>
      </c>
      <c r="B1" s="20"/>
      <c r="C1" s="20"/>
    </row>
    <row r="2" spans="1:3" x14ac:dyDescent="0.25">
      <c r="A2" s="20"/>
      <c r="B2" s="21" t="s">
        <v>104</v>
      </c>
      <c r="C2" s="32" t="s">
        <v>72</v>
      </c>
    </row>
    <row r="3" spans="1:3" ht="25.5" x14ac:dyDescent="0.25">
      <c r="A3" s="21" t="s">
        <v>105</v>
      </c>
      <c r="B3" s="29" t="s">
        <v>173</v>
      </c>
      <c r="C3" s="29" t="s">
        <v>563</v>
      </c>
    </row>
    <row r="4" spans="1:3" ht="25.5" x14ac:dyDescent="0.25">
      <c r="A4" s="21" t="s">
        <v>125</v>
      </c>
      <c r="B4" s="30" t="s">
        <v>126</v>
      </c>
      <c r="C4" s="30" t="s">
        <v>422</v>
      </c>
    </row>
    <row r="5" spans="1:3" ht="24.75" x14ac:dyDescent="0.25">
      <c r="A5" s="28" t="s">
        <v>150</v>
      </c>
      <c r="B5" s="67" t="s">
        <v>171</v>
      </c>
      <c r="C5" s="68" t="s">
        <v>517</v>
      </c>
    </row>
    <row r="6" spans="1:3" hidden="1" x14ac:dyDescent="0.25">
      <c r="A6" s="22" t="s">
        <v>1001</v>
      </c>
      <c r="B6" s="76"/>
      <c r="C6" s="81"/>
    </row>
    <row r="7" spans="1:3" x14ac:dyDescent="0.25">
      <c r="A7" s="22" t="s">
        <v>145</v>
      </c>
      <c r="B7" s="87" t="s">
        <v>948</v>
      </c>
      <c r="C7" s="66"/>
    </row>
    <row r="8" spans="1:3" x14ac:dyDescent="0.25">
      <c r="A8" s="22" t="s">
        <v>145</v>
      </c>
      <c r="B8" s="87" t="s">
        <v>949</v>
      </c>
      <c r="C8" s="66"/>
    </row>
  </sheetData>
  <conditionalFormatting sqref="A6:A7">
    <cfRule type="containsText" dxfId="227" priority="4" operator="containsText" text="ADD">
      <formula>NOT(ISERROR(SEARCH("ADD",A6)))</formula>
    </cfRule>
  </conditionalFormatting>
  <conditionalFormatting sqref="A6:A7">
    <cfRule type="containsText" dxfId="226" priority="1" operator="containsText" text="DELETE">
      <formula>NOT(ISERROR(SEARCH("DELETE",A6)))</formula>
    </cfRule>
    <cfRule type="containsText" dxfId="225" priority="2" operator="containsText" text="MODIFY">
      <formula>NOT(ISERROR(SEARCH("MODIFY",A6)))</formula>
    </cfRule>
    <cfRule type="containsText" dxfId="224" priority="3" operator="containsText" text="No ACTION">
      <formula>NOT(ISERROR(SEARCH("No ACTION",A6)))</formula>
    </cfRule>
  </conditionalFormatting>
  <conditionalFormatting sqref="A8">
    <cfRule type="containsText" dxfId="223" priority="8" operator="containsText" text="ADD">
      <formula>NOT(ISERROR(SEARCH("ADD",A8)))</formula>
    </cfRule>
  </conditionalFormatting>
  <conditionalFormatting sqref="A8">
    <cfRule type="containsText" dxfId="222" priority="5" operator="containsText" text="DELETE">
      <formula>NOT(ISERROR(SEARCH("DELETE",A8)))</formula>
    </cfRule>
    <cfRule type="containsText" dxfId="221" priority="6" operator="containsText" text="MODIFY">
      <formula>NOT(ISERROR(SEARCH("MODIFY",A8)))</formula>
    </cfRule>
    <cfRule type="containsText" dxfId="220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I8"/>
  <sheetViews>
    <sheetView workbookViewId="0">
      <selection activeCell="H8" sqref="H8"/>
    </sheetView>
  </sheetViews>
  <sheetFormatPr defaultColWidth="47.140625" defaultRowHeight="15" x14ac:dyDescent="0.25"/>
  <cols>
    <col min="1" max="1" width="13.5703125" customWidth="1"/>
    <col min="2" max="2" width="10.5703125" customWidth="1"/>
    <col min="3" max="3" width="16.5703125" bestFit="1" customWidth="1"/>
    <col min="4" max="4" width="28.140625" bestFit="1" customWidth="1"/>
    <col min="5" max="5" width="20" bestFit="1" customWidth="1"/>
    <col min="6" max="6" width="22.42578125" bestFit="1" customWidth="1"/>
    <col min="7" max="7" width="23.85546875" bestFit="1" customWidth="1"/>
    <col min="8" max="8" width="27.5703125" customWidth="1"/>
  </cols>
  <sheetData>
    <row r="1" spans="1:9" ht="18.75" x14ac:dyDescent="0.25">
      <c r="A1" s="19" t="s">
        <v>9</v>
      </c>
      <c r="B1" s="20"/>
      <c r="C1" s="20"/>
      <c r="D1" s="20"/>
      <c r="E1" s="20"/>
      <c r="F1" s="20"/>
      <c r="G1" s="20"/>
    </row>
    <row r="2" spans="1:9" ht="25.5" x14ac:dyDescent="0.25">
      <c r="A2" s="20"/>
      <c r="B2" s="21" t="s">
        <v>104</v>
      </c>
      <c r="C2" s="32" t="s">
        <v>33</v>
      </c>
      <c r="D2" s="20"/>
      <c r="E2" s="20"/>
      <c r="F2" s="20"/>
      <c r="G2" s="20"/>
    </row>
    <row r="3" spans="1:9" ht="25.5" x14ac:dyDescent="0.25">
      <c r="A3" s="21" t="s">
        <v>105</v>
      </c>
      <c r="B3" s="29" t="s">
        <v>551</v>
      </c>
      <c r="C3" s="29" t="s">
        <v>148</v>
      </c>
      <c r="D3" s="29" t="s">
        <v>552</v>
      </c>
      <c r="E3" s="29" t="s">
        <v>264</v>
      </c>
      <c r="F3" s="29" t="s">
        <v>568</v>
      </c>
      <c r="G3" s="30" t="s">
        <v>569</v>
      </c>
      <c r="H3" s="30" t="s">
        <v>570</v>
      </c>
      <c r="I3" s="30" t="s">
        <v>571</v>
      </c>
    </row>
    <row r="4" spans="1:9" ht="25.5" x14ac:dyDescent="0.25">
      <c r="A4" s="21" t="s">
        <v>125</v>
      </c>
      <c r="B4" s="30" t="s">
        <v>126</v>
      </c>
      <c r="C4" s="30" t="s">
        <v>170</v>
      </c>
      <c r="D4" s="30" t="s">
        <v>293</v>
      </c>
      <c r="E4" s="30" t="s">
        <v>184</v>
      </c>
      <c r="F4" s="30" t="s">
        <v>564</v>
      </c>
      <c r="G4" s="30" t="s">
        <v>565</v>
      </c>
      <c r="H4" s="30" t="s">
        <v>566</v>
      </c>
      <c r="I4" s="30" t="s">
        <v>567</v>
      </c>
    </row>
    <row r="5" spans="1:9" ht="76.5" x14ac:dyDescent="0.25">
      <c r="A5" s="28" t="s">
        <v>150</v>
      </c>
      <c r="B5" s="67" t="s">
        <v>517</v>
      </c>
      <c r="C5" s="31" t="s">
        <v>494</v>
      </c>
      <c r="D5" s="68" t="s">
        <v>1005</v>
      </c>
      <c r="E5" s="68" t="s">
        <v>1006</v>
      </c>
      <c r="F5" s="31" t="s">
        <v>502</v>
      </c>
      <c r="G5" s="31" t="s">
        <v>502</v>
      </c>
      <c r="H5" s="31" t="s">
        <v>502</v>
      </c>
      <c r="I5" s="31" t="s">
        <v>502</v>
      </c>
    </row>
    <row r="6" spans="1:9" hidden="1" x14ac:dyDescent="0.25">
      <c r="A6" s="22" t="s">
        <v>1001</v>
      </c>
      <c r="B6" s="76"/>
      <c r="C6" s="81"/>
      <c r="D6" s="81"/>
      <c r="E6" s="81"/>
      <c r="F6" s="83"/>
      <c r="G6" s="83"/>
      <c r="H6" s="83"/>
      <c r="I6" s="83"/>
    </row>
    <row r="7" spans="1:9" x14ac:dyDescent="0.25">
      <c r="A7" s="22" t="s">
        <v>145</v>
      </c>
      <c r="B7" s="69"/>
      <c r="C7" s="88" t="s">
        <v>550</v>
      </c>
      <c r="D7" s="88">
        <v>2345</v>
      </c>
      <c r="E7" s="88">
        <v>324234</v>
      </c>
      <c r="F7" s="36"/>
      <c r="G7" s="90" t="s">
        <v>500</v>
      </c>
      <c r="H7" s="36"/>
      <c r="I7" s="90" t="s">
        <v>500</v>
      </c>
    </row>
    <row r="8" spans="1:9" x14ac:dyDescent="0.25">
      <c r="A8" s="22" t="s">
        <v>145</v>
      </c>
      <c r="B8" s="69"/>
      <c r="C8" s="88" t="s">
        <v>745</v>
      </c>
      <c r="D8" s="66"/>
      <c r="E8" s="66"/>
      <c r="F8" s="36"/>
      <c r="G8" s="36"/>
      <c r="H8" s="90" t="s">
        <v>500</v>
      </c>
      <c r="I8" s="36"/>
    </row>
  </sheetData>
  <sheetProtection insertRows="0" insertHyperlinks="0" deleteRows="0" sort="0" autoFilter="0" pivotTables="0"/>
  <conditionalFormatting sqref="A6:A7">
    <cfRule type="containsText" dxfId="219" priority="6" operator="containsText" text="ADD">
      <formula>NOT(ISERROR(SEARCH("ADD",A6)))</formula>
    </cfRule>
  </conditionalFormatting>
  <conditionalFormatting sqref="A6:A7">
    <cfRule type="containsText" dxfId="218" priority="3" operator="containsText" text="DELETE">
      <formula>NOT(ISERROR(SEARCH("DELETE",A6)))</formula>
    </cfRule>
    <cfRule type="containsText" dxfId="217" priority="4" operator="containsText" text="MODIFY">
      <formula>NOT(ISERROR(SEARCH("MODIFY",A6)))</formula>
    </cfRule>
    <cfRule type="containsText" dxfId="216" priority="5" operator="containsText" text="No ACTION">
      <formula>NOT(ISERROR(SEARCH("No ACTION",A6)))</formula>
    </cfRule>
  </conditionalFormatting>
  <conditionalFormatting sqref="A8">
    <cfRule type="containsText" dxfId="215" priority="10" operator="containsText" text="ADD">
      <formula>NOT(ISERROR(SEARCH("ADD",A8)))</formula>
    </cfRule>
  </conditionalFormatting>
  <conditionalFormatting sqref="A8">
    <cfRule type="containsText" dxfId="214" priority="7" operator="containsText" text="DELETE">
      <formula>NOT(ISERROR(SEARCH("DELETE",A8)))</formula>
    </cfRule>
    <cfRule type="containsText" dxfId="213" priority="8" operator="containsText" text="MODIFY">
      <formula>NOT(ISERROR(SEARCH("MODIFY",A8)))</formula>
    </cfRule>
    <cfRule type="containsText" dxfId="212" priority="9" operator="containsText" text="No ACTION">
      <formula>NOT(ISERROR(SEARCH("No ACTION",A8)))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"allPlmn, homePlmn, noWhere, visitedPlmn"</formula1>
    </dataValidation>
    <dataValidation type="list" allowBlank="1" showInputMessage="1" showErrorMessage="1" sqref="F6:I8">
      <formula1>"true,false"</formula1>
    </dataValidation>
    <dataValidation type="decimal" allowBlank="1" showInputMessage="1" showErrorMessage="1" errorTitle="Please Correct the values" error="Value Range: 0..999" promptTitle="Aceptable Values" prompt="Value Range: 0..999" sqref="B6:B8">
      <formula1>0</formula1>
      <formula2>999</formula2>
    </dataValidation>
    <dataValidation type="textLength" allowBlank="1" showInputMessage="1" showErrorMessage="1" error="Length Range: 1..15" sqref="D6:D8">
      <formula1>0</formula1>
      <formula2>15</formula2>
    </dataValidation>
    <dataValidation type="whole" allowBlank="1" showInputMessage="1" showErrorMessage="1" error="Value range:0..2147483647" sqref="E6:E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O8"/>
  <sheetViews>
    <sheetView workbookViewId="0">
      <selection activeCell="D8" sqref="D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  <col min="4" max="4" width="37.85546875" customWidth="1"/>
    <col min="5" max="5" width="38.42578125" style="20" bestFit="1" customWidth="1"/>
  </cols>
  <sheetData>
    <row r="1" spans="1:15" ht="18.75" x14ac:dyDescent="0.25">
      <c r="A1" s="19" t="s">
        <v>9</v>
      </c>
      <c r="B1" s="20"/>
      <c r="C1" s="20"/>
      <c r="D1" s="20"/>
    </row>
    <row r="2" spans="1:15" x14ac:dyDescent="0.25">
      <c r="A2" s="20"/>
      <c r="B2" s="21" t="s">
        <v>104</v>
      </c>
      <c r="C2" s="32" t="s">
        <v>75</v>
      </c>
      <c r="D2" s="20"/>
      <c r="N2" t="s">
        <v>156</v>
      </c>
      <c r="O2" t="s">
        <v>420</v>
      </c>
    </row>
    <row r="3" spans="1:15" ht="25.5" x14ac:dyDescent="0.25">
      <c r="A3" s="21" t="s">
        <v>105</v>
      </c>
      <c r="B3" s="29" t="s">
        <v>173</v>
      </c>
      <c r="C3" s="29" t="s">
        <v>563</v>
      </c>
      <c r="D3" s="29" t="s">
        <v>421</v>
      </c>
      <c r="E3" s="29" t="s">
        <v>261</v>
      </c>
      <c r="N3" t="s">
        <v>271</v>
      </c>
      <c r="O3" t="s">
        <v>274</v>
      </c>
    </row>
    <row r="4" spans="1:15" ht="25.5" x14ac:dyDescent="0.25">
      <c r="A4" s="21" t="s">
        <v>125</v>
      </c>
      <c r="B4" s="30" t="s">
        <v>126</v>
      </c>
      <c r="C4" s="30" t="s">
        <v>422</v>
      </c>
      <c r="D4" s="30" t="s">
        <v>266</v>
      </c>
      <c r="E4" s="30" t="s">
        <v>265</v>
      </c>
      <c r="N4" t="s">
        <v>272</v>
      </c>
      <c r="O4" t="s">
        <v>272</v>
      </c>
    </row>
    <row r="5" spans="1:15" ht="63.75" x14ac:dyDescent="0.25">
      <c r="A5" s="28" t="s">
        <v>150</v>
      </c>
      <c r="B5" s="27" t="s">
        <v>171</v>
      </c>
      <c r="C5" s="27" t="s">
        <v>517</v>
      </c>
      <c r="D5" s="31" t="s">
        <v>465</v>
      </c>
      <c r="E5" s="31" t="s">
        <v>562</v>
      </c>
      <c r="N5" t="s">
        <v>423</v>
      </c>
      <c r="O5" t="s">
        <v>424</v>
      </c>
    </row>
    <row r="6" spans="1:15" hidden="1" x14ac:dyDescent="0.25">
      <c r="A6" s="22" t="s">
        <v>1001</v>
      </c>
      <c r="B6" s="76"/>
      <c r="C6" s="81"/>
      <c r="D6" s="81"/>
      <c r="E6" s="81"/>
      <c r="O6" t="s">
        <v>425</v>
      </c>
    </row>
    <row r="7" spans="1:15" x14ac:dyDescent="0.25">
      <c r="A7" s="22" t="s">
        <v>145</v>
      </c>
      <c r="B7" s="87" t="s">
        <v>981</v>
      </c>
      <c r="C7" s="88">
        <v>442</v>
      </c>
      <c r="D7" s="88" t="s">
        <v>271</v>
      </c>
      <c r="E7" s="25"/>
    </row>
    <row r="8" spans="1:15" x14ac:dyDescent="0.25">
      <c r="A8" s="22" t="s">
        <v>145</v>
      </c>
      <c r="B8" s="87" t="s">
        <v>982</v>
      </c>
      <c r="C8" s="88">
        <v>444</v>
      </c>
      <c r="D8" s="88" t="s">
        <v>272</v>
      </c>
      <c r="E8" s="25"/>
    </row>
  </sheetData>
  <conditionalFormatting sqref="A6:A7">
    <cfRule type="containsText" dxfId="211" priority="4" operator="containsText" text="ADD">
      <formula>NOT(ISERROR(SEARCH("ADD",A6)))</formula>
    </cfRule>
  </conditionalFormatting>
  <conditionalFormatting sqref="A6:A7">
    <cfRule type="containsText" dxfId="210" priority="1" operator="containsText" text="DELETE">
      <formula>NOT(ISERROR(SEARCH("DELETE",A6)))</formula>
    </cfRule>
    <cfRule type="containsText" dxfId="209" priority="2" operator="containsText" text="MODIFY">
      <formula>NOT(ISERROR(SEARCH("MODIFY",A6)))</formula>
    </cfRule>
    <cfRule type="containsText" dxfId="208" priority="3" operator="containsText" text="No ACTION">
      <formula>NOT(ISERROR(SEARCH("No ACTION",A6)))</formula>
    </cfRule>
  </conditionalFormatting>
  <conditionalFormatting sqref="A8">
    <cfRule type="containsText" dxfId="207" priority="8" operator="containsText" text="ADD">
      <formula>NOT(ISERROR(SEARCH("ADD",A8)))</formula>
    </cfRule>
  </conditionalFormatting>
  <conditionalFormatting sqref="A8">
    <cfRule type="containsText" dxfId="206" priority="5" operator="containsText" text="DELETE">
      <formula>NOT(ISERROR(SEARCH("DELETE",A8)))</formula>
    </cfRule>
    <cfRule type="containsText" dxfId="205" priority="6" operator="containsText" text="MODIFY">
      <formula>NOT(ISERROR(SEARCH("MODIFY",A8)))</formula>
    </cfRule>
    <cfRule type="containsText" dxfId="204" priority="7" operator="containsText" text="No ACTION">
      <formula>NOT(ISERROR(SEARCH("No ACTION",A8)))</formula>
    </cfRule>
  </conditionalFormatting>
  <dataValidations count="5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"replaceByBAIC, noReplacement, noOptimalRouting"</formula1>
    </dataValidation>
    <dataValidation type="list" allowBlank="1" showInputMessage="1" showErrorMessage="1" sqref="E6:E8">
      <formula1>"roamingRestrictions,noReplacement,replaceByBarringOfOutgoingCalls,replaceByBarringOfOutgoingIntCallsExceptToHome"</formula1>
    </dataValidation>
    <dataValidation type="whole" allowBlank="1" showInputMessage="1" showErrorMessage="1" error="Value Range: 0..999" sqref="C6:C8">
      <formula1>0</formula1>
      <formula2>999</formula2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AC8"/>
  <sheetViews>
    <sheetView workbookViewId="0">
      <selection activeCell="D8" sqref="D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  <col min="4" max="4" width="37.85546875" customWidth="1"/>
    <col min="5" max="5" width="38.42578125" style="20" customWidth="1"/>
  </cols>
  <sheetData>
    <row r="1" spans="1:29" ht="18.75" x14ac:dyDescent="0.25">
      <c r="A1" s="19" t="s">
        <v>9</v>
      </c>
      <c r="B1" s="20"/>
      <c r="C1" s="20"/>
      <c r="D1" s="20"/>
    </row>
    <row r="2" spans="1:29" x14ac:dyDescent="0.25">
      <c r="A2" s="20"/>
      <c r="B2" s="21" t="s">
        <v>104</v>
      </c>
      <c r="C2" s="32" t="s">
        <v>426</v>
      </c>
      <c r="D2" s="20"/>
      <c r="AC2" t="s">
        <v>156</v>
      </c>
    </row>
    <row r="3" spans="1:29" ht="25.5" x14ac:dyDescent="0.25">
      <c r="A3" s="21" t="s">
        <v>105</v>
      </c>
      <c r="B3" s="29" t="s">
        <v>173</v>
      </c>
      <c r="C3" s="29" t="s">
        <v>563</v>
      </c>
      <c r="D3" s="29" t="s">
        <v>421</v>
      </c>
      <c r="E3" s="29" t="s">
        <v>427</v>
      </c>
      <c r="AC3" t="s">
        <v>271</v>
      </c>
    </row>
    <row r="4" spans="1:29" ht="25.5" x14ac:dyDescent="0.25">
      <c r="A4" s="21" t="s">
        <v>125</v>
      </c>
      <c r="B4" s="30" t="s">
        <v>126</v>
      </c>
      <c r="C4" s="30" t="s">
        <v>422</v>
      </c>
      <c r="D4" s="30" t="s">
        <v>266</v>
      </c>
      <c r="E4" s="30" t="s">
        <v>428</v>
      </c>
      <c r="AC4" t="s">
        <v>272</v>
      </c>
    </row>
    <row r="5" spans="1:29" ht="38.25" x14ac:dyDescent="0.25">
      <c r="A5" s="28" t="s">
        <v>150</v>
      </c>
      <c r="B5" s="27" t="s">
        <v>171</v>
      </c>
      <c r="C5" s="27" t="s">
        <v>517</v>
      </c>
      <c r="D5" s="31" t="s">
        <v>465</v>
      </c>
      <c r="E5" s="31" t="s">
        <v>502</v>
      </c>
      <c r="AC5" t="s">
        <v>423</v>
      </c>
    </row>
    <row r="6" spans="1:29" hidden="1" x14ac:dyDescent="0.25">
      <c r="A6" s="22" t="s">
        <v>1001</v>
      </c>
      <c r="B6" s="76"/>
      <c r="C6" s="81"/>
      <c r="D6" s="81"/>
      <c r="E6" s="81"/>
    </row>
    <row r="7" spans="1:29" x14ac:dyDescent="0.25">
      <c r="A7" s="22" t="s">
        <v>145</v>
      </c>
      <c r="B7" s="82" t="s">
        <v>981</v>
      </c>
      <c r="C7" s="88">
        <v>442</v>
      </c>
      <c r="D7" s="88" t="s">
        <v>271</v>
      </c>
      <c r="E7" s="25"/>
    </row>
    <row r="8" spans="1:29" x14ac:dyDescent="0.25">
      <c r="A8" s="22" t="s">
        <v>145</v>
      </c>
      <c r="B8" s="82" t="s">
        <v>982</v>
      </c>
      <c r="C8" s="88">
        <v>444</v>
      </c>
      <c r="D8" s="88" t="s">
        <v>272</v>
      </c>
      <c r="E8" s="25"/>
    </row>
  </sheetData>
  <conditionalFormatting sqref="A6:A7">
    <cfRule type="containsText" dxfId="203" priority="4" operator="containsText" text="ADD">
      <formula>NOT(ISERROR(SEARCH("ADD",A6)))</formula>
    </cfRule>
  </conditionalFormatting>
  <conditionalFormatting sqref="A6:A7">
    <cfRule type="containsText" dxfId="202" priority="1" operator="containsText" text="DELETE">
      <formula>NOT(ISERROR(SEARCH("DELETE",A6)))</formula>
    </cfRule>
    <cfRule type="containsText" dxfId="201" priority="2" operator="containsText" text="MODIFY">
      <formula>NOT(ISERROR(SEARCH("MODIFY",A6)))</formula>
    </cfRule>
    <cfRule type="containsText" dxfId="200" priority="3" operator="containsText" text="No ACTION">
      <formula>NOT(ISERROR(SEARCH("No ACTION",A6)))</formula>
    </cfRule>
  </conditionalFormatting>
  <conditionalFormatting sqref="A8">
    <cfRule type="containsText" dxfId="199" priority="8" operator="containsText" text="ADD">
      <formula>NOT(ISERROR(SEARCH("ADD",A8)))</formula>
    </cfRule>
  </conditionalFormatting>
  <conditionalFormatting sqref="A8">
    <cfRule type="containsText" dxfId="198" priority="5" operator="containsText" text="DELETE">
      <formula>NOT(ISERROR(SEARCH("DELETE",A8)))</formula>
    </cfRule>
    <cfRule type="containsText" dxfId="197" priority="6" operator="containsText" text="MODIFY">
      <formula>NOT(ISERROR(SEARCH("MODIFY",A8)))</formula>
    </cfRule>
    <cfRule type="containsText" dxfId="196" priority="7" operator="containsText" text="No ACTION">
      <formula>NOT(ISERROR(SEARCH("No ACTION",A8)))</formula>
    </cfRule>
  </conditionalFormatting>
  <dataValidations count="5">
    <dataValidation type="list" allowBlank="1" showInputMessage="1" showErrorMessage="1" sqref="E6:E1003">
      <formula1>"true,false"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"replaceByBAIC, noReplacement, noOptimalRouting"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customWidth="1"/>
  </cols>
  <sheetData>
    <row r="1" spans="1:3" ht="18.75" x14ac:dyDescent="0.25">
      <c r="A1" s="19" t="s">
        <v>9</v>
      </c>
      <c r="B1" s="20"/>
      <c r="C1" s="20"/>
    </row>
    <row r="2" spans="1:3" x14ac:dyDescent="0.25">
      <c r="A2" s="20"/>
      <c r="B2" s="21" t="s">
        <v>104</v>
      </c>
      <c r="C2" s="32" t="s">
        <v>980</v>
      </c>
    </row>
    <row r="3" spans="1:3" ht="25.5" x14ac:dyDescent="0.25">
      <c r="A3" s="21" t="s">
        <v>105</v>
      </c>
      <c r="B3" s="29" t="s">
        <v>173</v>
      </c>
      <c r="C3" s="29" t="s">
        <v>573</v>
      </c>
    </row>
    <row r="4" spans="1:3" ht="25.5" x14ac:dyDescent="0.25">
      <c r="A4" s="21" t="s">
        <v>125</v>
      </c>
      <c r="B4" s="30" t="s">
        <v>126</v>
      </c>
      <c r="C4" s="30" t="s">
        <v>572</v>
      </c>
    </row>
    <row r="5" spans="1:3" ht="24.75" x14ac:dyDescent="0.25">
      <c r="A5" s="28" t="s">
        <v>150</v>
      </c>
      <c r="B5" s="27" t="s">
        <v>171</v>
      </c>
      <c r="C5" s="31" t="s">
        <v>574</v>
      </c>
    </row>
    <row r="6" spans="1:3" hidden="1" x14ac:dyDescent="0.25">
      <c r="A6" s="22" t="s">
        <v>145</v>
      </c>
      <c r="B6" s="76"/>
      <c r="C6" s="81"/>
    </row>
    <row r="7" spans="1:3" x14ac:dyDescent="0.25">
      <c r="A7" s="22" t="s">
        <v>145</v>
      </c>
      <c r="B7" s="87" t="s">
        <v>981</v>
      </c>
      <c r="C7" s="25"/>
    </row>
    <row r="8" spans="1:3" x14ac:dyDescent="0.25">
      <c r="A8" s="22" t="s">
        <v>145</v>
      </c>
      <c r="B8" s="87" t="s">
        <v>982</v>
      </c>
      <c r="C8" s="25"/>
    </row>
  </sheetData>
  <conditionalFormatting sqref="A6:A7">
    <cfRule type="containsText" dxfId="195" priority="4" operator="containsText" text="ADD">
      <formula>NOT(ISERROR(SEARCH("ADD",A6)))</formula>
    </cfRule>
  </conditionalFormatting>
  <conditionalFormatting sqref="A6:A7">
    <cfRule type="containsText" dxfId="194" priority="1" operator="containsText" text="DELETE">
      <formula>NOT(ISERROR(SEARCH("DELETE",A6)))</formula>
    </cfRule>
    <cfRule type="containsText" dxfId="193" priority="2" operator="containsText" text="MODIFY">
      <formula>NOT(ISERROR(SEARCH("MODIFY",A6)))</formula>
    </cfRule>
    <cfRule type="containsText" dxfId="192" priority="3" operator="containsText" text="No ACTION">
      <formula>NOT(ISERROR(SEARCH("No ACTION",A6)))</formula>
    </cfRule>
  </conditionalFormatting>
  <conditionalFormatting sqref="A8">
    <cfRule type="containsText" dxfId="191" priority="8" operator="containsText" text="ADD">
      <formula>NOT(ISERROR(SEARCH("ADD",A8)))</formula>
    </cfRule>
  </conditionalFormatting>
  <conditionalFormatting sqref="A8">
    <cfRule type="containsText" dxfId="190" priority="5" operator="containsText" text="DELETE">
      <formula>NOT(ISERROR(SEARCH("DELETE",A8)))</formula>
    </cfRule>
    <cfRule type="containsText" dxfId="189" priority="6" operator="containsText" text="MODIFY">
      <formula>NOT(ISERROR(SEARCH("MODIFY",A8)))</formula>
    </cfRule>
    <cfRule type="containsText" dxfId="188" priority="7" operator="containsText" text="No ACTION">
      <formula>NOT(ISERROR(SEARCH("No ACTION",A8)))</formula>
    </cfRule>
  </conditionalFormatting>
  <dataValidations count="2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E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4" width="31.28515625" customWidth="1"/>
  </cols>
  <sheetData>
    <row r="1" spans="1:5" ht="18.75" x14ac:dyDescent="0.25">
      <c r="A1" s="19" t="s">
        <v>9</v>
      </c>
      <c r="B1" s="20"/>
      <c r="C1" s="20"/>
      <c r="D1" s="20"/>
    </row>
    <row r="2" spans="1:5" x14ac:dyDescent="0.25">
      <c r="A2" s="20"/>
      <c r="B2" s="21" t="s">
        <v>104</v>
      </c>
      <c r="C2" s="32" t="s">
        <v>312</v>
      </c>
      <c r="D2" s="20"/>
    </row>
    <row r="3" spans="1:5" ht="25.5" x14ac:dyDescent="0.25">
      <c r="A3" s="21" t="s">
        <v>105</v>
      </c>
      <c r="B3" s="29" t="s">
        <v>173</v>
      </c>
      <c r="C3" s="29" t="s">
        <v>313</v>
      </c>
      <c r="D3" s="29" t="s">
        <v>314</v>
      </c>
      <c r="E3" s="29" t="s">
        <v>315</v>
      </c>
    </row>
    <row r="4" spans="1:5" ht="25.5" x14ac:dyDescent="0.25">
      <c r="A4" s="21" t="s">
        <v>125</v>
      </c>
      <c r="B4" s="30" t="s">
        <v>126</v>
      </c>
      <c r="C4" s="30" t="s">
        <v>316</v>
      </c>
      <c r="D4" s="30" t="s">
        <v>575</v>
      </c>
      <c r="E4" s="30" t="s">
        <v>576</v>
      </c>
    </row>
    <row r="5" spans="1:5" ht="24.75" x14ac:dyDescent="0.25">
      <c r="A5" s="28" t="s">
        <v>150</v>
      </c>
      <c r="B5" s="27" t="s">
        <v>171</v>
      </c>
      <c r="C5" s="27" t="s">
        <v>574</v>
      </c>
      <c r="D5" s="31" t="s">
        <v>577</v>
      </c>
      <c r="E5" s="31" t="s">
        <v>577</v>
      </c>
    </row>
    <row r="6" spans="1:5" hidden="1" x14ac:dyDescent="0.25">
      <c r="A6" s="22" t="s">
        <v>1001</v>
      </c>
      <c r="B6" s="76"/>
      <c r="C6" s="81"/>
      <c r="D6" s="81"/>
      <c r="E6" s="81"/>
    </row>
    <row r="7" spans="1:5" x14ac:dyDescent="0.25">
      <c r="A7" s="22" t="s">
        <v>145</v>
      </c>
      <c r="B7" s="82" t="s">
        <v>981</v>
      </c>
      <c r="C7" s="25"/>
      <c r="D7" s="25"/>
      <c r="E7" s="25"/>
    </row>
    <row r="8" spans="1:5" x14ac:dyDescent="0.25">
      <c r="A8" s="22" t="s">
        <v>145</v>
      </c>
      <c r="B8" s="82" t="s">
        <v>982</v>
      </c>
      <c r="C8" s="25"/>
      <c r="D8" s="25"/>
      <c r="E8" s="25"/>
    </row>
  </sheetData>
  <conditionalFormatting sqref="A6:A7">
    <cfRule type="containsText" dxfId="187" priority="4" operator="containsText" text="ADD">
      <formula>NOT(ISERROR(SEARCH("ADD",A6)))</formula>
    </cfRule>
  </conditionalFormatting>
  <conditionalFormatting sqref="A6:A7">
    <cfRule type="containsText" dxfId="186" priority="1" operator="containsText" text="DELETE">
      <formula>NOT(ISERROR(SEARCH("DELETE",A6)))</formula>
    </cfRule>
    <cfRule type="containsText" dxfId="185" priority="2" operator="containsText" text="MODIFY">
      <formula>NOT(ISERROR(SEARCH("MODIFY",A6)))</formula>
    </cfRule>
    <cfRule type="containsText" dxfId="184" priority="3" operator="containsText" text="No ACTION">
      <formula>NOT(ISERROR(SEARCH("No ACTION",A6)))</formula>
    </cfRule>
  </conditionalFormatting>
  <conditionalFormatting sqref="A8">
    <cfRule type="containsText" dxfId="183" priority="8" operator="containsText" text="ADD">
      <formula>NOT(ISERROR(SEARCH("ADD",A8)))</formula>
    </cfRule>
  </conditionalFormatting>
  <conditionalFormatting sqref="A8">
    <cfRule type="containsText" dxfId="182" priority="5" operator="containsText" text="DELETE">
      <formula>NOT(ISERROR(SEARCH("DELETE",A8)))</formula>
    </cfRule>
    <cfRule type="containsText" dxfId="181" priority="6" operator="containsText" text="MODIFY">
      <formula>NOT(ISERROR(SEARCH("MODIFY",A8)))</formula>
    </cfRule>
    <cfRule type="containsText" dxfId="180" priority="7" operator="containsText" text="No ACTION">
      <formula>NOT(ISERROR(SEARCH("No ACTION",A8)))</formula>
    </cfRule>
  </conditionalFormatting>
  <dataValidations count="2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T8"/>
  <sheetViews>
    <sheetView workbookViewId="0">
      <selection activeCell="B7" sqref="B7:L8"/>
    </sheetView>
  </sheetViews>
  <sheetFormatPr defaultColWidth="21.42578125" defaultRowHeight="15" x14ac:dyDescent="0.25"/>
  <cols>
    <col min="1" max="1" width="13.5703125" bestFit="1" customWidth="1"/>
    <col min="2" max="2" width="10.5703125" bestFit="1" customWidth="1"/>
    <col min="3" max="3" width="16.28515625" customWidth="1"/>
    <col min="4" max="4" width="11.42578125" bestFit="1" customWidth="1"/>
    <col min="5" max="5" width="15.85546875" bestFit="1" customWidth="1"/>
    <col min="6" max="6" width="9.42578125" bestFit="1" customWidth="1"/>
    <col min="7" max="7" width="16.140625" bestFit="1" customWidth="1"/>
    <col min="8" max="8" width="19.5703125" bestFit="1" customWidth="1"/>
    <col min="9" max="9" width="16.42578125" bestFit="1" customWidth="1"/>
    <col min="10" max="10" width="11.140625" bestFit="1" customWidth="1"/>
    <col min="11" max="11" width="19" bestFit="1" customWidth="1"/>
    <col min="12" max="12" width="16.85546875" customWidth="1"/>
    <col min="13" max="13" width="13.5703125" bestFit="1" customWidth="1"/>
    <col min="14" max="14" width="16.140625" bestFit="1" customWidth="1"/>
    <col min="15" max="15" width="12.42578125" bestFit="1" customWidth="1"/>
    <col min="16" max="16" width="12.28515625" bestFit="1" customWidth="1"/>
    <col min="17" max="17" width="14" bestFit="1" customWidth="1"/>
    <col min="18" max="18" width="12.7109375" bestFit="1" customWidth="1"/>
    <col min="22" max="22" width="18.140625" bestFit="1" customWidth="1"/>
    <col min="23" max="23" width="6.42578125" bestFit="1" customWidth="1"/>
    <col min="24" max="24" width="6.85546875" bestFit="1" customWidth="1"/>
  </cols>
  <sheetData>
    <row r="1" spans="1:20" ht="18.75" x14ac:dyDescent="0.25">
      <c r="A1" s="19" t="s">
        <v>9</v>
      </c>
      <c r="B1" s="20"/>
      <c r="C1" s="20"/>
      <c r="D1" s="20"/>
    </row>
    <row r="2" spans="1:20" ht="25.5" x14ac:dyDescent="0.25">
      <c r="A2" s="20"/>
      <c r="B2" s="21" t="s">
        <v>104</v>
      </c>
      <c r="C2" s="32" t="s">
        <v>317</v>
      </c>
      <c r="D2" s="20"/>
    </row>
    <row r="3" spans="1:20" ht="25.5" x14ac:dyDescent="0.25">
      <c r="A3" s="21" t="s">
        <v>105</v>
      </c>
      <c r="B3" s="29" t="s">
        <v>189</v>
      </c>
      <c r="C3" s="29" t="s">
        <v>322</v>
      </c>
      <c r="D3" s="29" t="s">
        <v>323</v>
      </c>
      <c r="E3" s="29" t="s">
        <v>324</v>
      </c>
      <c r="F3" s="29" t="s">
        <v>325</v>
      </c>
      <c r="G3" s="29" t="s">
        <v>326</v>
      </c>
      <c r="H3" s="29" t="s">
        <v>327</v>
      </c>
      <c r="I3" s="29" t="s">
        <v>328</v>
      </c>
      <c r="J3" s="29" t="s">
        <v>329</v>
      </c>
      <c r="K3" s="29" t="s">
        <v>330</v>
      </c>
      <c r="L3" s="29" t="s">
        <v>331</v>
      </c>
      <c r="M3" s="29" t="s">
        <v>332</v>
      </c>
      <c r="N3" s="29" t="s">
        <v>333</v>
      </c>
      <c r="O3" s="29" t="s">
        <v>318</v>
      </c>
      <c r="P3" s="29" t="s">
        <v>319</v>
      </c>
      <c r="Q3" s="29" t="s">
        <v>320</v>
      </c>
      <c r="R3" s="29" t="s">
        <v>321</v>
      </c>
      <c r="S3" s="29" t="s">
        <v>585</v>
      </c>
      <c r="T3" s="29" t="s">
        <v>588</v>
      </c>
    </row>
    <row r="4" spans="1:20" ht="25.5" x14ac:dyDescent="0.25">
      <c r="A4" s="21" t="s">
        <v>125</v>
      </c>
      <c r="B4" s="30" t="s">
        <v>126</v>
      </c>
      <c r="C4" s="30" t="s">
        <v>339</v>
      </c>
      <c r="D4" s="30" t="s">
        <v>340</v>
      </c>
      <c r="E4" s="30" t="s">
        <v>341</v>
      </c>
      <c r="F4" s="30" t="s">
        <v>342</v>
      </c>
      <c r="G4" s="30" t="s">
        <v>343</v>
      </c>
      <c r="H4" s="30" t="s">
        <v>344</v>
      </c>
      <c r="I4" s="30" t="s">
        <v>345</v>
      </c>
      <c r="J4" s="30" t="s">
        <v>346</v>
      </c>
      <c r="K4" s="30" t="s">
        <v>347</v>
      </c>
      <c r="L4" s="30" t="s">
        <v>348</v>
      </c>
      <c r="M4" s="30" t="s">
        <v>349</v>
      </c>
      <c r="N4" s="30" t="s">
        <v>350</v>
      </c>
      <c r="O4" s="30" t="s">
        <v>335</v>
      </c>
      <c r="P4" s="30" t="s">
        <v>336</v>
      </c>
      <c r="Q4" s="30" t="s">
        <v>337</v>
      </c>
      <c r="R4" s="30" t="s">
        <v>338</v>
      </c>
      <c r="S4" s="30" t="s">
        <v>586</v>
      </c>
      <c r="T4" s="30" t="s">
        <v>587</v>
      </c>
    </row>
    <row r="5" spans="1:20" ht="60.75" x14ac:dyDescent="0.25">
      <c r="A5" s="28" t="s">
        <v>150</v>
      </c>
      <c r="B5" s="27" t="s">
        <v>171</v>
      </c>
      <c r="C5" s="27" t="s">
        <v>578</v>
      </c>
      <c r="D5" s="27" t="s">
        <v>579</v>
      </c>
      <c r="E5" s="27" t="s">
        <v>580</v>
      </c>
      <c r="F5" s="27" t="s">
        <v>581</v>
      </c>
      <c r="G5" s="27" t="s">
        <v>582</v>
      </c>
      <c r="H5" s="27" t="s">
        <v>580</v>
      </c>
      <c r="I5" s="27" t="s">
        <v>334</v>
      </c>
      <c r="J5" s="27" t="s">
        <v>334</v>
      </c>
      <c r="K5" s="27" t="s">
        <v>583</v>
      </c>
      <c r="L5" s="27" t="s">
        <v>584</v>
      </c>
      <c r="M5" s="27"/>
      <c r="N5" s="27"/>
      <c r="O5" s="27"/>
      <c r="P5" s="27"/>
      <c r="Q5" s="27"/>
      <c r="R5" s="27"/>
      <c r="S5" s="27"/>
      <c r="T5" s="27"/>
    </row>
    <row r="6" spans="1:20" hidden="1" x14ac:dyDescent="0.25">
      <c r="A6" s="22" t="s">
        <v>1001</v>
      </c>
      <c r="B6" s="76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</row>
    <row r="7" spans="1:20" x14ac:dyDescent="0.25">
      <c r="A7" s="22" t="s">
        <v>145</v>
      </c>
      <c r="B7" s="33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</row>
    <row r="8" spans="1:20" x14ac:dyDescent="0.25">
      <c r="A8" s="22" t="s">
        <v>145</v>
      </c>
      <c r="B8" s="33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</row>
  </sheetData>
  <conditionalFormatting sqref="A6:A7">
    <cfRule type="containsText" dxfId="179" priority="4" operator="containsText" text="ADD">
      <formula>NOT(ISERROR(SEARCH("ADD",A6)))</formula>
    </cfRule>
  </conditionalFormatting>
  <conditionalFormatting sqref="A6:A7">
    <cfRule type="containsText" dxfId="178" priority="1" operator="containsText" text="DELETE">
      <formula>NOT(ISERROR(SEARCH("DELETE",A6)))</formula>
    </cfRule>
    <cfRule type="containsText" dxfId="177" priority="2" operator="containsText" text="MODIFY">
      <formula>NOT(ISERROR(SEARCH("MODIFY",A6)))</formula>
    </cfRule>
    <cfRule type="containsText" dxfId="176" priority="3" operator="containsText" text="No ACTION">
      <formula>NOT(ISERROR(SEARCH("No ACTION",A6)))</formula>
    </cfRule>
  </conditionalFormatting>
  <conditionalFormatting sqref="A8">
    <cfRule type="containsText" dxfId="175" priority="8" operator="containsText" text="ADD">
      <formula>NOT(ISERROR(SEARCH("ADD",A8)))</formula>
    </cfRule>
  </conditionalFormatting>
  <conditionalFormatting sqref="A8">
    <cfRule type="containsText" dxfId="174" priority="5" operator="containsText" text="DELETE">
      <formula>NOT(ISERROR(SEARCH("DELETE",A8)))</formula>
    </cfRule>
    <cfRule type="containsText" dxfId="173" priority="6" operator="containsText" text="MODIFY">
      <formula>NOT(ISERROR(SEARCH("MODIFY",A8)))</formula>
    </cfRule>
    <cfRule type="containsText" dxfId="172" priority="7" operator="containsText" text="No ACTION">
      <formula>NOT(ISERROR(SEARCH("No ACTION",A8)))</formula>
    </cfRule>
  </conditionalFormatting>
  <dataValidations count="10">
    <dataValidation type="list" allowBlank="1" showInputMessage="1" showErrorMessage="1" sqref="C6:C8">
      <formula1>"UTRANNotAllowed,GERANNotAllowed,E-UTRANNotAllowed"</formula1>
    </dataValidation>
    <dataValidation type="list" allowBlank="1" showInputMessage="1" showErrorMessage="1" sqref="H6:H8 E6:E8">
      <formula1>"ns,replace"</formula1>
    </dataValidation>
    <dataValidation type="list" allowBlank="1" showInputMessage="1" showErrorMessage="1" sqref="G6:G8">
      <formula1>"None,GSM,GPRS,GSMGPRS"</formula1>
    </dataValidation>
    <dataValidation type="list" allowBlank="1" showInputMessage="1" showErrorMessage="1" sqref="I6:J8">
      <formula1>"ns"</formula1>
    </dataValidation>
    <dataValidation type="list" allowBlank="1" showInputMessage="1" showErrorMessage="1" sqref="K6:K8">
      <formula1>"ns_rna,s_rna,ns"</formula1>
    </dataValidation>
    <dataValidation type="list" allowBlank="1" showInputMessage="1" showErrorMessage="1" sqref="L6:L8">
      <formula1>"ns,replace,conditionalReplace,conditionalSuppress"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"ns,induce,suppress"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F6:F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D67"/>
  <sheetViews>
    <sheetView workbookViewId="0">
      <selection activeCell="B7" sqref="B7:D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16384" width="23.85546875" style="20"/>
  </cols>
  <sheetData>
    <row r="1" spans="1:4" ht="18.75" x14ac:dyDescent="0.25">
      <c r="A1" s="19" t="s">
        <v>9</v>
      </c>
    </row>
    <row r="2" spans="1:4" ht="25.5" x14ac:dyDescent="0.25">
      <c r="B2" s="21" t="s">
        <v>104</v>
      </c>
      <c r="C2" s="32" t="s">
        <v>983</v>
      </c>
    </row>
    <row r="3" spans="1:4" ht="25.5" x14ac:dyDescent="0.25">
      <c r="A3" s="21" t="s">
        <v>105</v>
      </c>
      <c r="B3" s="29" t="s">
        <v>590</v>
      </c>
      <c r="C3" s="29" t="s">
        <v>415</v>
      </c>
      <c r="D3" s="29" t="s">
        <v>591</v>
      </c>
    </row>
    <row r="4" spans="1:4" ht="25.5" x14ac:dyDescent="0.25">
      <c r="A4" s="21" t="s">
        <v>125</v>
      </c>
      <c r="B4" s="30" t="s">
        <v>126</v>
      </c>
      <c r="C4" s="30" t="s">
        <v>414</v>
      </c>
      <c r="D4" s="30" t="s">
        <v>416</v>
      </c>
    </row>
    <row r="5" spans="1:4" ht="204" x14ac:dyDescent="0.25">
      <c r="A5" s="28" t="s">
        <v>150</v>
      </c>
      <c r="B5" s="27" t="s">
        <v>171</v>
      </c>
      <c r="C5" s="31" t="s">
        <v>592</v>
      </c>
      <c r="D5" s="31" t="s">
        <v>593</v>
      </c>
    </row>
    <row r="6" spans="1:4" s="23" customFormat="1" ht="11.25" hidden="1" x14ac:dyDescent="0.2">
      <c r="A6" s="22" t="s">
        <v>1001</v>
      </c>
      <c r="B6" s="76"/>
      <c r="C6" s="81"/>
      <c r="D6" s="81"/>
    </row>
    <row r="7" spans="1:4" s="23" customFormat="1" ht="11.25" x14ac:dyDescent="0.2">
      <c r="A7" s="22" t="s">
        <v>145</v>
      </c>
      <c r="B7" s="33"/>
      <c r="C7" s="25"/>
      <c r="D7" s="25"/>
    </row>
    <row r="8" spans="1:4" s="23" customFormat="1" ht="11.25" x14ac:dyDescent="0.2">
      <c r="A8" s="22" t="s">
        <v>145</v>
      </c>
      <c r="B8" s="33"/>
      <c r="C8" s="25"/>
      <c r="D8" s="25"/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6:A7">
    <cfRule type="containsText" dxfId="171" priority="1" operator="containsText" text="DELETE">
      <formula>NOT(ISERROR(SEARCH("DELETE",A6)))</formula>
    </cfRule>
    <cfRule type="containsText" dxfId="170" priority="2" operator="containsText" text="MODIFY">
      <formula>NOT(ISERROR(SEARCH("MODIFY",A6)))</formula>
    </cfRule>
    <cfRule type="containsText" dxfId="169" priority="3" operator="containsText" text="No ACTION">
      <formula>NOT(ISERROR(SEARCH("No ACTION",A6)))</formula>
    </cfRule>
  </conditionalFormatting>
  <conditionalFormatting sqref="A8">
    <cfRule type="containsText" dxfId="168" priority="8" operator="containsText" text="ADD">
      <formula>NOT(ISERROR(SEARCH("ADD",A8)))</formula>
    </cfRule>
  </conditionalFormatting>
  <conditionalFormatting sqref="A8">
    <cfRule type="containsText" dxfId="167" priority="5" operator="containsText" text="DELETE">
      <formula>NOT(ISERROR(SEARCH("DELETE",A8)))</formula>
    </cfRule>
    <cfRule type="containsText" dxfId="166" priority="6" operator="containsText" text="MODIFY">
      <formula>NOT(ISERROR(SEARCH("MODIFY",A8)))</formula>
    </cfRule>
    <cfRule type="containsText" dxfId="165" priority="7" operator="containsText" text="No ACTION">
      <formula>NOT(ISERROR(SEARCH("No ACTION",A8)))</formula>
    </cfRule>
  </conditionalFormatting>
  <conditionalFormatting sqref="A6:A7">
    <cfRule type="containsText" dxfId="164" priority="4" operator="containsText" text="ADD">
      <formula>NOT(ISERROR(SEARCH("ADD",A6)))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"cs,ns_raa,ns_rna,s_raa,s_rna,ns"</formula1>
    </dataValidation>
    <dataValidation type="list" allowBlank="1" showInputMessage="1" showErrorMessage="1" sqref="C6:C8">
      <formula1>"TS11,TS21,TS22,TS61,TS62,VGCS,VBS,CDA,CDS,ALS,PAD,TS21GPRS,TS22GPRS,BS61A,BS81A"</formula1>
    </dataValidation>
    <dataValidation type="list" allowBlank="1" showInputMessage="1" showErrorMessage="1" sqref="C9">
      <formula1>$V$2:$V$16</formula1>
    </dataValidation>
    <dataValidation type="list" allowBlank="1" showInputMessage="1" showErrorMessage="1" sqref="D9">
      <formula1>"ns_nsusgr,ns_nsusgh,ns_nsusms,ns_raa,ns_raalt,ns_rna,ns_rnscnc,s_nsusgh,s_nsusgr,s_nsusms,s_raalt,s_rna,ns,induce,conditionalReplace,conditionalSuppress"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J67"/>
  <sheetViews>
    <sheetView workbookViewId="0">
      <selection activeCell="B7" sqref="B7:E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3.85546875" style="20"/>
    <col min="5" max="5" width="44.42578125" style="20" customWidth="1"/>
    <col min="6" max="16384" width="23.85546875" style="20"/>
  </cols>
  <sheetData>
    <row r="1" spans="1:10" ht="18.75" x14ac:dyDescent="0.25">
      <c r="A1" s="19" t="s">
        <v>9</v>
      </c>
    </row>
    <row r="2" spans="1:10" ht="25.5" x14ac:dyDescent="0.25">
      <c r="B2" s="21" t="s">
        <v>104</v>
      </c>
      <c r="C2" s="32" t="s">
        <v>984</v>
      </c>
      <c r="J2" s="20" t="s">
        <v>355</v>
      </c>
    </row>
    <row r="3" spans="1:10" ht="25.5" x14ac:dyDescent="0.25">
      <c r="A3" s="21" t="s">
        <v>105</v>
      </c>
      <c r="B3" s="29" t="s">
        <v>594</v>
      </c>
      <c r="C3" s="29" t="s">
        <v>595</v>
      </c>
      <c r="D3" s="29" t="s">
        <v>354</v>
      </c>
      <c r="E3" s="29" t="s">
        <v>596</v>
      </c>
      <c r="J3" s="20" t="s">
        <v>359</v>
      </c>
    </row>
    <row r="4" spans="1:10" ht="25.5" x14ac:dyDescent="0.25">
      <c r="A4" s="21" t="s">
        <v>125</v>
      </c>
      <c r="B4" s="30" t="s">
        <v>126</v>
      </c>
      <c r="C4" s="30" t="s">
        <v>356</v>
      </c>
      <c r="D4" s="30" t="s">
        <v>357</v>
      </c>
      <c r="E4" s="30" t="s">
        <v>358</v>
      </c>
      <c r="J4" s="20" t="s">
        <v>361</v>
      </c>
    </row>
    <row r="5" spans="1:10" ht="140.25" x14ac:dyDescent="0.25">
      <c r="A5" s="28" t="s">
        <v>150</v>
      </c>
      <c r="B5" s="27" t="s">
        <v>171</v>
      </c>
      <c r="C5" s="31" t="s">
        <v>597</v>
      </c>
      <c r="D5" s="31" t="s">
        <v>598</v>
      </c>
      <c r="E5" s="31" t="s">
        <v>599</v>
      </c>
      <c r="J5" s="20" t="s">
        <v>363</v>
      </c>
    </row>
    <row r="6" spans="1:10" s="23" customFormat="1" ht="11.25" hidden="1" x14ac:dyDescent="0.2">
      <c r="A6" s="22" t="s">
        <v>1001</v>
      </c>
      <c r="B6" s="76"/>
      <c r="C6" s="81"/>
      <c r="D6" s="81"/>
      <c r="E6" s="81"/>
      <c r="J6" s="23" t="s">
        <v>365</v>
      </c>
    </row>
    <row r="7" spans="1:10" s="23" customFormat="1" ht="11.25" x14ac:dyDescent="0.2">
      <c r="A7" s="22" t="s">
        <v>145</v>
      </c>
      <c r="B7" s="33"/>
      <c r="C7" s="25"/>
      <c r="D7" s="25"/>
      <c r="E7" s="25"/>
      <c r="J7" s="23" t="s">
        <v>367</v>
      </c>
    </row>
    <row r="8" spans="1:10" s="23" customFormat="1" ht="11.25" x14ac:dyDescent="0.2">
      <c r="A8" s="22" t="s">
        <v>145</v>
      </c>
      <c r="B8" s="33"/>
      <c r="C8" s="25"/>
      <c r="D8" s="25"/>
      <c r="E8" s="25"/>
      <c r="J8" s="23" t="s">
        <v>369</v>
      </c>
    </row>
    <row r="9" spans="1:10" x14ac:dyDescent="0.25">
      <c r="J9" s="20" t="s">
        <v>370</v>
      </c>
    </row>
    <row r="10" spans="1:10" x14ac:dyDescent="0.25">
      <c r="J10" s="20" t="s">
        <v>371</v>
      </c>
    </row>
    <row r="11" spans="1:10" x14ac:dyDescent="0.25">
      <c r="J11" s="20" t="s">
        <v>372</v>
      </c>
    </row>
    <row r="12" spans="1:10" x14ac:dyDescent="0.25">
      <c r="J12" s="20" t="s">
        <v>373</v>
      </c>
    </row>
    <row r="13" spans="1:10" x14ac:dyDescent="0.25">
      <c r="J13" s="20" t="s">
        <v>374</v>
      </c>
    </row>
    <row r="14" spans="1:10" x14ac:dyDescent="0.25">
      <c r="J14" s="20" t="s">
        <v>600</v>
      </c>
    </row>
    <row r="15" spans="1:10" x14ac:dyDescent="0.25">
      <c r="J15" s="20" t="s">
        <v>601</v>
      </c>
    </row>
    <row r="16" spans="1:10" x14ac:dyDescent="0.25">
      <c r="J16" s="20" t="s">
        <v>602</v>
      </c>
    </row>
    <row r="17" spans="10:10" ht="22.5" customHeight="1" x14ac:dyDescent="0.25">
      <c r="J17" s="20" t="s">
        <v>603</v>
      </c>
    </row>
    <row r="18" spans="10:10" ht="22.5" customHeight="1" x14ac:dyDescent="0.25">
      <c r="J18" s="20" t="s">
        <v>604</v>
      </c>
    </row>
    <row r="19" spans="10:10" ht="22.5" customHeight="1" x14ac:dyDescent="0.25">
      <c r="J19" s="20" t="s">
        <v>605</v>
      </c>
    </row>
    <row r="20" spans="10:10" ht="22.5" customHeight="1" x14ac:dyDescent="0.25">
      <c r="J20" s="20" t="s">
        <v>606</v>
      </c>
    </row>
    <row r="21" spans="10:10" ht="22.5" customHeight="1" x14ac:dyDescent="0.25">
      <c r="J21" s="20" t="s">
        <v>607</v>
      </c>
    </row>
    <row r="22" spans="10:10" ht="22.5" customHeight="1" x14ac:dyDescent="0.25">
      <c r="J22" s="20" t="s">
        <v>368</v>
      </c>
    </row>
    <row r="23" spans="10:10" ht="22.5" customHeight="1" x14ac:dyDescent="0.25">
      <c r="J23" s="20" t="s">
        <v>362</v>
      </c>
    </row>
    <row r="24" spans="10:10" ht="22.5" customHeight="1" x14ac:dyDescent="0.25">
      <c r="J24" s="20" t="s">
        <v>366</v>
      </c>
    </row>
    <row r="25" spans="10:10" ht="22.5" customHeight="1" x14ac:dyDescent="0.25">
      <c r="J25" s="20" t="s">
        <v>364</v>
      </c>
    </row>
    <row r="26" spans="10:10" ht="22.5" customHeight="1" x14ac:dyDescent="0.25">
      <c r="J26" s="20" t="s">
        <v>608</v>
      </c>
    </row>
    <row r="27" spans="10:10" ht="22.5" customHeight="1" x14ac:dyDescent="0.25">
      <c r="J27" s="20" t="s">
        <v>609</v>
      </c>
    </row>
    <row r="28" spans="10:10" ht="22.5" customHeight="1" x14ac:dyDescent="0.25">
      <c r="J28" s="20" t="s">
        <v>610</v>
      </c>
    </row>
    <row r="29" spans="10:10" ht="22.5" customHeight="1" x14ac:dyDescent="0.25">
      <c r="J29" s="20" t="s">
        <v>375</v>
      </c>
    </row>
    <row r="30" spans="10:10" ht="22.5" customHeight="1" x14ac:dyDescent="0.25">
      <c r="J30" s="20" t="s">
        <v>376</v>
      </c>
    </row>
    <row r="31" spans="10:10" ht="22.5" customHeight="1" x14ac:dyDescent="0.25">
      <c r="J31" s="20" t="s">
        <v>377</v>
      </c>
    </row>
    <row r="32" spans="10:10" ht="22.5" customHeight="1" x14ac:dyDescent="0.25">
      <c r="J32" s="20" t="s">
        <v>378</v>
      </c>
    </row>
    <row r="33" spans="10:10" ht="22.5" customHeight="1" x14ac:dyDescent="0.25">
      <c r="J33" s="20" t="s">
        <v>360</v>
      </c>
    </row>
    <row r="34" spans="10:10" ht="22.5" customHeight="1" x14ac:dyDescent="0.25">
      <c r="J34" s="20" t="s">
        <v>379</v>
      </c>
    </row>
    <row r="35" spans="10:10" ht="22.5" customHeight="1" x14ac:dyDescent="0.25">
      <c r="J35" s="20" t="s">
        <v>380</v>
      </c>
    </row>
    <row r="36" spans="10:10" ht="22.5" customHeight="1" x14ac:dyDescent="0.25">
      <c r="J36" s="20" t="s">
        <v>381</v>
      </c>
    </row>
    <row r="37" spans="10:10" ht="22.5" customHeight="1" x14ac:dyDescent="0.25">
      <c r="J37" s="20" t="s">
        <v>382</v>
      </c>
    </row>
    <row r="38" spans="10:10" ht="22.5" customHeight="1" x14ac:dyDescent="0.25">
      <c r="J38" s="20" t="s">
        <v>383</v>
      </c>
    </row>
    <row r="39" spans="10:10" ht="22.5" customHeight="1" x14ac:dyDescent="0.25">
      <c r="J39" s="20" t="s">
        <v>384</v>
      </c>
    </row>
    <row r="40" spans="10:10" ht="22.5" customHeight="1" x14ac:dyDescent="0.25">
      <c r="J40" s="20" t="s">
        <v>385</v>
      </c>
    </row>
    <row r="41" spans="10:10" ht="22.5" customHeight="1" x14ac:dyDescent="0.25">
      <c r="J41" s="20" t="s">
        <v>386</v>
      </c>
    </row>
    <row r="42" spans="10:10" ht="22.5" customHeight="1" x14ac:dyDescent="0.25">
      <c r="J42" s="20" t="s">
        <v>387</v>
      </c>
    </row>
    <row r="43" spans="10:10" ht="22.5" customHeight="1" x14ac:dyDescent="0.25">
      <c r="J43" s="20" t="s">
        <v>388</v>
      </c>
    </row>
    <row r="44" spans="10:10" ht="22.5" customHeight="1" x14ac:dyDescent="0.25">
      <c r="J44" s="20" t="s">
        <v>389</v>
      </c>
    </row>
    <row r="45" spans="10:10" ht="22.5" customHeight="1" x14ac:dyDescent="0.25">
      <c r="J45" s="20" t="s">
        <v>390</v>
      </c>
    </row>
    <row r="46" spans="10:10" ht="22.5" customHeight="1" x14ac:dyDescent="0.25">
      <c r="J46" s="20" t="s">
        <v>391</v>
      </c>
    </row>
    <row r="47" spans="10:10" ht="22.5" customHeight="1" x14ac:dyDescent="0.25">
      <c r="J47" s="20" t="s">
        <v>392</v>
      </c>
    </row>
    <row r="48" spans="10:10" ht="22.5" customHeight="1" x14ac:dyDescent="0.25">
      <c r="J48" s="20" t="s">
        <v>393</v>
      </c>
    </row>
    <row r="49" spans="10:10" ht="22.5" customHeight="1" x14ac:dyDescent="0.25">
      <c r="J49" s="20" t="s">
        <v>394</v>
      </c>
    </row>
    <row r="50" spans="10:10" ht="22.5" customHeight="1" x14ac:dyDescent="0.25">
      <c r="J50" s="20" t="s">
        <v>395</v>
      </c>
    </row>
    <row r="51" spans="10:10" ht="22.5" customHeight="1" x14ac:dyDescent="0.25">
      <c r="J51" s="20" t="s">
        <v>396</v>
      </c>
    </row>
    <row r="52" spans="10:10" ht="22.5" customHeight="1" x14ac:dyDescent="0.25"/>
    <row r="53" spans="10:10" ht="22.5" customHeight="1" x14ac:dyDescent="0.25"/>
    <row r="54" spans="10:10" ht="22.5" customHeight="1" x14ac:dyDescent="0.25"/>
    <row r="55" spans="10:10" ht="22.5" customHeight="1" x14ac:dyDescent="0.25"/>
    <row r="56" spans="10:10" ht="22.5" customHeight="1" x14ac:dyDescent="0.25"/>
    <row r="57" spans="10:10" ht="22.5" customHeight="1" x14ac:dyDescent="0.25"/>
    <row r="58" spans="10:10" ht="22.5" customHeight="1" x14ac:dyDescent="0.25"/>
    <row r="59" spans="10:10" ht="22.5" customHeight="1" x14ac:dyDescent="0.25"/>
    <row r="60" spans="10:10" ht="22.5" customHeight="1" x14ac:dyDescent="0.25"/>
    <row r="61" spans="10:10" ht="22.5" customHeight="1" x14ac:dyDescent="0.25"/>
    <row r="62" spans="10:10" ht="22.5" customHeight="1" x14ac:dyDescent="0.25"/>
    <row r="63" spans="10:10" ht="22.5" customHeight="1" x14ac:dyDescent="0.25"/>
    <row r="64" spans="10:10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6:A7">
    <cfRule type="containsText" dxfId="163" priority="1" operator="containsText" text="DELETE">
      <formula>NOT(ISERROR(SEARCH("DELETE",A6)))</formula>
    </cfRule>
    <cfRule type="containsText" dxfId="162" priority="2" operator="containsText" text="MODIFY">
      <formula>NOT(ISERROR(SEARCH("MODIFY",A6)))</formula>
    </cfRule>
    <cfRule type="containsText" dxfId="161" priority="3" operator="containsText" text="No ACTION">
      <formula>NOT(ISERROR(SEARCH("No ACTION",A6)))</formula>
    </cfRule>
  </conditionalFormatting>
  <conditionalFormatting sqref="A8">
    <cfRule type="containsText" dxfId="160" priority="8" operator="containsText" text="ADD">
      <formula>NOT(ISERROR(SEARCH("ADD",A8)))</formula>
    </cfRule>
  </conditionalFormatting>
  <conditionalFormatting sqref="A8">
    <cfRule type="containsText" dxfId="159" priority="5" operator="containsText" text="DELETE">
      <formula>NOT(ISERROR(SEARCH("DELETE",A8)))</formula>
    </cfRule>
    <cfRule type="containsText" dxfId="158" priority="6" operator="containsText" text="MODIFY">
      <formula>NOT(ISERROR(SEARCH("MODIFY",A8)))</formula>
    </cfRule>
    <cfRule type="containsText" dxfId="157" priority="7" operator="containsText" text="No ACTION">
      <formula>NOT(ISERROR(SEARCH("No ACTION",A8)))</formula>
    </cfRule>
  </conditionalFormatting>
  <conditionalFormatting sqref="A6:A7">
    <cfRule type="containsText" dxfId="156" priority="4" operator="containsText" text="ADD">
      <formula>NOT(ISERROR(SEARCH("ADD",A6)))</formula>
    </cfRule>
  </conditionalFormatting>
  <dataValidations count="7">
    <dataValidation type="list" showInputMessage="1" showErrorMessage="1" sqref="A6:A8">
      <formula1>"ADD,MODIFY,DELETE,NO ACTION"</formula1>
    </dataValidation>
    <dataValidation type="list" allowBlank="1" showInputMessage="1" showErrorMessage="1" sqref="E6:E8">
      <formula1>"TS10,TS20,TS60,BS20,BS30,BS40"</formula1>
    </dataValidation>
    <dataValidation type="list" allowBlank="1" showInputMessage="1" showErrorMessage="1" sqref="D9">
      <formula1>"ns_nsusgr,ns_nsusgh,ns_nsusms,ns_raa,ns_raalt,ns_rna,ns_rnscnc,s_nsusgh,s_nsusgr,s_nsusms,s_raalt,s_rna,ns,induce,conditionalReplace,conditionalSuppress"</formula1>
    </dataValidation>
    <dataValidation type="list" allowBlank="1" showInputMessage="1" showErrorMessage="1" sqref="C9">
      <formula1>$W$2:$W$16</formula1>
    </dataValidation>
    <dataValidation type="list" allowBlank="1" showInputMessage="1" showErrorMessage="1" sqref="C6:C8">
      <formula1>$J$2:$J$51</formula1>
    </dataValidation>
    <dataValidation type="list" allowBlank="1" showInputMessage="1" showErrorMessage="1" sqref="D6:D8">
      <formula1>"cns,csu,ns_rna,s_rna,ns,induce"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E67"/>
  <sheetViews>
    <sheetView workbookViewId="0">
      <selection activeCell="E8" sqref="E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16384" width="23.85546875" style="20"/>
  </cols>
  <sheetData>
    <row r="1" spans="1:5" ht="18.75" x14ac:dyDescent="0.25">
      <c r="A1" s="19" t="s">
        <v>9</v>
      </c>
    </row>
    <row r="2" spans="1:5" ht="25.5" x14ac:dyDescent="0.25">
      <c r="B2" s="21" t="s">
        <v>104</v>
      </c>
      <c r="C2" s="32" t="s">
        <v>86</v>
      </c>
    </row>
    <row r="3" spans="1:5" ht="25.5" x14ac:dyDescent="0.25">
      <c r="A3" s="21" t="s">
        <v>105</v>
      </c>
      <c r="B3" s="29" t="s">
        <v>611</v>
      </c>
      <c r="C3" s="29" t="s">
        <v>612</v>
      </c>
      <c r="D3" s="29" t="s">
        <v>409</v>
      </c>
      <c r="E3" s="29" t="s">
        <v>410</v>
      </c>
    </row>
    <row r="4" spans="1:5" ht="25.5" x14ac:dyDescent="0.25">
      <c r="A4" s="21" t="s">
        <v>125</v>
      </c>
      <c r="B4" s="30" t="s">
        <v>126</v>
      </c>
      <c r="C4" s="30" t="s">
        <v>411</v>
      </c>
      <c r="D4" s="30" t="s">
        <v>412</v>
      </c>
      <c r="E4" s="30" t="s">
        <v>413</v>
      </c>
    </row>
    <row r="5" spans="1:5" ht="140.25" x14ac:dyDescent="0.25">
      <c r="A5" s="28" t="s">
        <v>150</v>
      </c>
      <c r="B5" s="27" t="s">
        <v>171</v>
      </c>
      <c r="C5" s="31" t="s">
        <v>613</v>
      </c>
      <c r="D5" s="31" t="s">
        <v>614</v>
      </c>
      <c r="E5" s="31" t="s">
        <v>1010</v>
      </c>
    </row>
    <row r="6" spans="1:5" s="23" customFormat="1" ht="11.25" hidden="1" x14ac:dyDescent="0.2">
      <c r="A6" s="22" t="s">
        <v>1001</v>
      </c>
      <c r="B6" s="76"/>
      <c r="C6" s="81"/>
      <c r="D6" s="81"/>
      <c r="E6" s="81"/>
    </row>
    <row r="7" spans="1:5" s="23" customFormat="1" ht="11.25" x14ac:dyDescent="0.2">
      <c r="A7" s="22" t="s">
        <v>145</v>
      </c>
      <c r="B7" s="33"/>
      <c r="C7" s="88" t="s">
        <v>988</v>
      </c>
      <c r="D7" s="88" t="s">
        <v>986</v>
      </c>
      <c r="E7" s="88">
        <v>222</v>
      </c>
    </row>
    <row r="8" spans="1:5" s="23" customFormat="1" ht="11.25" x14ac:dyDescent="0.2">
      <c r="A8" s="22" t="s">
        <v>145</v>
      </c>
      <c r="B8" s="33"/>
      <c r="C8" s="88" t="s">
        <v>987</v>
      </c>
      <c r="D8" s="88" t="s">
        <v>985</v>
      </c>
      <c r="E8" s="88">
        <v>233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6:A7">
    <cfRule type="containsText" dxfId="155" priority="1" operator="containsText" text="DELETE">
      <formula>NOT(ISERROR(SEARCH("DELETE",A6)))</formula>
    </cfRule>
    <cfRule type="containsText" dxfId="154" priority="2" operator="containsText" text="MODIFY">
      <formula>NOT(ISERROR(SEARCH("MODIFY",A6)))</formula>
    </cfRule>
    <cfRule type="containsText" dxfId="153" priority="3" operator="containsText" text="No ACTION">
      <formula>NOT(ISERROR(SEARCH("No ACTION",A6)))</formula>
    </cfRule>
  </conditionalFormatting>
  <conditionalFormatting sqref="A8">
    <cfRule type="containsText" dxfId="152" priority="8" operator="containsText" text="ADD">
      <formula>NOT(ISERROR(SEARCH("ADD",A8)))</formula>
    </cfRule>
  </conditionalFormatting>
  <conditionalFormatting sqref="A8">
    <cfRule type="containsText" dxfId="151" priority="5" operator="containsText" text="DELETE">
      <formula>NOT(ISERROR(SEARCH("DELETE",A8)))</formula>
    </cfRule>
    <cfRule type="containsText" dxfId="150" priority="6" operator="containsText" text="MODIFY">
      <formula>NOT(ISERROR(SEARCH("MODIFY",A8)))</formula>
    </cfRule>
    <cfRule type="containsText" dxfId="149" priority="7" operator="containsText" text="No ACTION">
      <formula>NOT(ISERROR(SEARCH("No ACTION",A8)))</formula>
    </cfRule>
  </conditionalFormatting>
  <conditionalFormatting sqref="A6:A7">
    <cfRule type="containsText" dxfId="148" priority="4" operator="containsText" text="ADD">
      <formula>NOT(ISERROR(SEARCH("ADD",A6)))</formula>
    </cfRule>
  </conditionalFormatting>
  <dataValidations count="7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"ns_rna,s_del,s_res,s_rna,tus_del,tus_res,ns,induce"</formula1>
    </dataValidation>
    <dataValidation type="list" allowBlank="1" showInputMessage="1" showErrorMessage="1" sqref="C6:C8">
      <formula1>"BAOC,BAIC,BAROAM,PREMIUM,BASSM,HPLMN,POACCESS,ECT,ODBROAMGPRS"</formula1>
    </dataValidation>
    <dataValidation type="list" allowBlank="1" showInputMessage="1" showErrorMessage="1" sqref="C9">
      <formula1>$W$2:$W$16</formula1>
    </dataValidation>
    <dataValidation type="list" allowBlank="1" showInputMessage="1" showErrorMessage="1" sqref="D9">
      <formula1>"ns_nsusgr,ns_nsusgh,ns_nsusms,ns_raa,ns_raalt,ns_rna,ns_rnscnc,s_nsusgh,s_nsusgr,s_nsusms,s_raalt,s_rna,ns,induce,conditionalReplace,conditionalSuppress"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E6:E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G67"/>
  <sheetViews>
    <sheetView workbookViewId="0">
      <selection activeCell="E8" sqref="E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16384" width="23.85546875" style="20"/>
  </cols>
  <sheetData>
    <row r="1" spans="1:7" ht="18.75" x14ac:dyDescent="0.25">
      <c r="A1" s="19" t="s">
        <v>9</v>
      </c>
    </row>
    <row r="2" spans="1:7" ht="25.5" x14ac:dyDescent="0.25">
      <c r="B2" s="21" t="s">
        <v>104</v>
      </c>
      <c r="C2" s="32" t="s">
        <v>88</v>
      </c>
      <c r="F2" s="47"/>
    </row>
    <row r="3" spans="1:7" ht="25.5" x14ac:dyDescent="0.25">
      <c r="A3" s="21" t="s">
        <v>105</v>
      </c>
      <c r="B3" s="29" t="s">
        <v>189</v>
      </c>
      <c r="C3" s="29" t="s">
        <v>397</v>
      </c>
      <c r="D3" s="29" t="s">
        <v>352</v>
      </c>
      <c r="E3" s="29" t="s">
        <v>398</v>
      </c>
      <c r="F3" s="48" t="s">
        <v>399</v>
      </c>
      <c r="G3" s="29" t="s">
        <v>400</v>
      </c>
    </row>
    <row r="4" spans="1:7" ht="25.5" x14ac:dyDescent="0.25">
      <c r="A4" s="21" t="s">
        <v>125</v>
      </c>
      <c r="B4" s="30" t="s">
        <v>126</v>
      </c>
      <c r="C4" s="30" t="s">
        <v>401</v>
      </c>
      <c r="D4" s="30" t="s">
        <v>402</v>
      </c>
      <c r="E4" s="30" t="s">
        <v>403</v>
      </c>
      <c r="F4" s="34" t="s">
        <v>404</v>
      </c>
      <c r="G4" s="30" t="s">
        <v>405</v>
      </c>
    </row>
    <row r="5" spans="1:7" ht="229.5" x14ac:dyDescent="0.25">
      <c r="A5" s="28" t="s">
        <v>150</v>
      </c>
      <c r="B5" s="27" t="s">
        <v>171</v>
      </c>
      <c r="C5" s="31" t="s">
        <v>615</v>
      </c>
      <c r="D5" s="31" t="s">
        <v>616</v>
      </c>
      <c r="E5" s="31" t="s">
        <v>617</v>
      </c>
      <c r="F5" s="49" t="s">
        <v>618</v>
      </c>
      <c r="G5" s="31" t="s">
        <v>236</v>
      </c>
    </row>
    <row r="6" spans="1:7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</row>
    <row r="7" spans="1:7" s="23" customFormat="1" ht="11.25" x14ac:dyDescent="0.2">
      <c r="A7" s="22" t="s">
        <v>145</v>
      </c>
      <c r="B7" s="87">
        <v>44556</v>
      </c>
      <c r="C7" s="88" t="s">
        <v>989</v>
      </c>
      <c r="D7" s="88" t="s">
        <v>334</v>
      </c>
      <c r="E7" s="25"/>
      <c r="F7" s="50"/>
      <c r="G7" s="25"/>
    </row>
    <row r="8" spans="1:7" s="23" customFormat="1" ht="11.25" x14ac:dyDescent="0.2">
      <c r="A8" s="22" t="s">
        <v>145</v>
      </c>
      <c r="B8" s="87">
        <v>777890</v>
      </c>
      <c r="C8" s="88" t="s">
        <v>990</v>
      </c>
      <c r="D8" s="88" t="s">
        <v>351</v>
      </c>
      <c r="E8" s="88" t="s">
        <v>406</v>
      </c>
      <c r="F8" s="50"/>
      <c r="G8" s="25"/>
    </row>
    <row r="9" spans="1:7" x14ac:dyDescent="0.25">
      <c r="F9" s="47"/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6:A7">
    <cfRule type="containsText" dxfId="147" priority="1" operator="containsText" text="DELETE">
      <formula>NOT(ISERROR(SEARCH("DELETE",A6)))</formula>
    </cfRule>
    <cfRule type="containsText" dxfId="146" priority="2" operator="containsText" text="MODIFY">
      <formula>NOT(ISERROR(SEARCH("MODIFY",A6)))</formula>
    </cfRule>
    <cfRule type="containsText" dxfId="145" priority="3" operator="containsText" text="No ACTION">
      <formula>NOT(ISERROR(SEARCH("No ACTION",A6)))</formula>
    </cfRule>
  </conditionalFormatting>
  <conditionalFormatting sqref="A8">
    <cfRule type="containsText" dxfId="144" priority="8" operator="containsText" text="ADD">
      <formula>NOT(ISERROR(SEARCH("ADD",A8)))</formula>
    </cfRule>
  </conditionalFormatting>
  <conditionalFormatting sqref="A8">
    <cfRule type="containsText" dxfId="143" priority="5" operator="containsText" text="DELETE">
      <formula>NOT(ISERROR(SEARCH("DELETE",A8)))</formula>
    </cfRule>
    <cfRule type="containsText" dxfId="142" priority="6" operator="containsText" text="MODIFY">
      <formula>NOT(ISERROR(SEARCH("MODIFY",A8)))</formula>
    </cfRule>
    <cfRule type="containsText" dxfId="141" priority="7" operator="containsText" text="No ACTION">
      <formula>NOT(ISERROR(SEARCH("No ACTION",A8)))</formula>
    </cfRule>
  </conditionalFormatting>
  <conditionalFormatting sqref="A6:A7">
    <cfRule type="containsText" dxfId="140" priority="4" operator="containsText" text="ADD">
      <formula>NOT(ISERROR(SEARCH("ADD",A6)))</formula>
    </cfRule>
  </conditionalFormatting>
  <dataValidations count="5">
    <dataValidation type="list" allowBlank="1" showInputMessage="1" showErrorMessage="1" sqref="C9">
      <formula1>$Z$2:$Z$16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"OCSI,TCSI,SSCSI,GPRSCSI,VTCSI,SMSCSI,MCSI,DCSI,MTSMSCSI,MGCSI,UCSI,OICK,TICK,TIFCSI,SSET,EMOICK"</formula1>
    </dataValidation>
    <dataValidation type="list" allowBlank="1" showInputMessage="1" showErrorMessage="1" sqref="D6:D9">
      <formula1>"ns_nsusgr,ns_nsusgh,ns_nsusms,ns_raa,ns_raalt,ns_rna,ns_rnscnc,s_nsusgh,s_nsusgr,s_nsusms,s_raalt,s_rna,ns,induce,conditionalReplace,conditionalSuppress"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C67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16384" width="23.85546875" style="20"/>
  </cols>
  <sheetData>
    <row r="1" spans="1:3" ht="18.75" x14ac:dyDescent="0.25">
      <c r="A1" s="19" t="s">
        <v>9</v>
      </c>
      <c r="C1" t="s">
        <v>619</v>
      </c>
    </row>
    <row r="2" spans="1:3" ht="25.5" x14ac:dyDescent="0.25">
      <c r="B2" s="21" t="s">
        <v>104</v>
      </c>
      <c r="C2" s="32" t="s">
        <v>430</v>
      </c>
    </row>
    <row r="3" spans="1:3" ht="25.5" x14ac:dyDescent="0.25">
      <c r="A3" s="21" t="s">
        <v>105</v>
      </c>
      <c r="B3" s="29" t="s">
        <v>431</v>
      </c>
      <c r="C3" s="29" t="s">
        <v>432</v>
      </c>
    </row>
    <row r="4" spans="1:3" ht="25.5" x14ac:dyDescent="0.25">
      <c r="A4" s="21" t="s">
        <v>125</v>
      </c>
      <c r="B4" s="30" t="s">
        <v>126</v>
      </c>
      <c r="C4" s="30" t="s">
        <v>433</v>
      </c>
    </row>
    <row r="5" spans="1:3" ht="72.75" x14ac:dyDescent="0.25">
      <c r="A5" s="28" t="s">
        <v>150</v>
      </c>
      <c r="B5" s="27" t="s">
        <v>620</v>
      </c>
      <c r="C5" s="67" t="s">
        <v>1005</v>
      </c>
    </row>
    <row r="6" spans="1:3" s="23" customFormat="1" ht="11.25" hidden="1" x14ac:dyDescent="0.2">
      <c r="A6" s="22" t="s">
        <v>1001</v>
      </c>
      <c r="B6" s="76"/>
      <c r="C6" s="81"/>
    </row>
    <row r="7" spans="1:3" s="23" customFormat="1" ht="11.25" x14ac:dyDescent="0.2">
      <c r="A7" s="22" t="s">
        <v>145</v>
      </c>
      <c r="B7" s="91">
        <v>22</v>
      </c>
      <c r="C7" s="66"/>
    </row>
    <row r="8" spans="1:3" s="23" customFormat="1" ht="11.25" x14ac:dyDescent="0.2">
      <c r="A8" s="22" t="s">
        <v>145</v>
      </c>
      <c r="B8" s="91">
        <v>233</v>
      </c>
      <c r="C8" s="66"/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39" priority="8" operator="containsText" text="ADD">
      <formula>NOT(ISERROR(SEARCH("ADD",A8)))</formula>
    </cfRule>
  </conditionalFormatting>
  <conditionalFormatting sqref="A8">
    <cfRule type="containsText" dxfId="138" priority="5" operator="containsText" text="DELETE">
      <formula>NOT(ISERROR(SEARCH("DELETE",A8)))</formula>
    </cfRule>
    <cfRule type="containsText" dxfId="137" priority="6" operator="containsText" text="MODIFY">
      <formula>NOT(ISERROR(SEARCH("MODIFY",A8)))</formula>
    </cfRule>
    <cfRule type="containsText" dxfId="136" priority="7" operator="containsText" text="No ACTION">
      <formula>NOT(ISERROR(SEARCH("No ACTION",A8)))</formula>
    </cfRule>
  </conditionalFormatting>
  <conditionalFormatting sqref="A6:A7">
    <cfRule type="containsText" dxfId="135" priority="4" operator="containsText" text="ADD">
      <formula>NOT(ISERROR(SEARCH("ADD",A6)))</formula>
    </cfRule>
  </conditionalFormatting>
  <conditionalFormatting sqref="A6:A7">
    <cfRule type="containsText" dxfId="134" priority="1" operator="containsText" text="DELETE">
      <formula>NOT(ISERROR(SEARCH("DELETE",A6)))</formula>
    </cfRule>
    <cfRule type="containsText" dxfId="133" priority="2" operator="containsText" text="MODIFY">
      <formula>NOT(ISERROR(SEARCH("MODIFY",A6)))</formula>
    </cfRule>
    <cfRule type="containsText" dxfId="132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255" sqref="B6:B8">
      <formula1>0</formula1>
      <formula2>255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D67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16384" width="23.85546875" style="20"/>
  </cols>
  <sheetData>
    <row r="1" spans="1:4" ht="18.75" x14ac:dyDescent="0.25">
      <c r="A1" s="19" t="s">
        <v>9</v>
      </c>
      <c r="C1"/>
    </row>
    <row r="2" spans="1:4" ht="25.5" x14ac:dyDescent="0.25">
      <c r="B2" s="21" t="s">
        <v>104</v>
      </c>
      <c r="C2" s="32" t="s">
        <v>991</v>
      </c>
    </row>
    <row r="3" spans="1:4" ht="25.5" x14ac:dyDescent="0.25">
      <c r="A3" s="21" t="s">
        <v>105</v>
      </c>
      <c r="B3" s="29" t="s">
        <v>625</v>
      </c>
      <c r="C3" s="29" t="s">
        <v>527</v>
      </c>
      <c r="D3" s="29" t="s">
        <v>624</v>
      </c>
    </row>
    <row r="4" spans="1:4" ht="25.5" x14ac:dyDescent="0.25">
      <c r="A4" s="21" t="s">
        <v>125</v>
      </c>
      <c r="B4" s="30" t="s">
        <v>126</v>
      </c>
      <c r="C4" s="30" t="s">
        <v>524</v>
      </c>
      <c r="D4" s="30" t="s">
        <v>623</v>
      </c>
    </row>
    <row r="5" spans="1:4" ht="60.75" x14ac:dyDescent="0.25">
      <c r="A5" s="28" t="s">
        <v>150</v>
      </c>
      <c r="B5" s="27" t="s">
        <v>622</v>
      </c>
      <c r="C5" s="27" t="s">
        <v>621</v>
      </c>
      <c r="D5" s="68" t="s">
        <v>1010</v>
      </c>
    </row>
    <row r="6" spans="1:4" s="23" customFormat="1" ht="11.25" hidden="1" x14ac:dyDescent="0.2">
      <c r="A6" s="22" t="s">
        <v>1001</v>
      </c>
      <c r="B6" s="76"/>
      <c r="C6" s="86"/>
      <c r="D6" s="81"/>
    </row>
    <row r="7" spans="1:4" s="23" customFormat="1" ht="11.25" x14ac:dyDescent="0.2">
      <c r="A7" s="22" t="s">
        <v>145</v>
      </c>
      <c r="B7" s="87" t="s">
        <v>992</v>
      </c>
      <c r="C7" s="88">
        <v>34534</v>
      </c>
      <c r="D7" s="88">
        <v>222</v>
      </c>
    </row>
    <row r="8" spans="1:4" s="23" customFormat="1" ht="11.25" x14ac:dyDescent="0.2">
      <c r="A8" s="22" t="s">
        <v>145</v>
      </c>
      <c r="B8" s="33"/>
      <c r="C8" s="51"/>
      <c r="D8" s="88">
        <v>231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31" priority="8" operator="containsText" text="ADD">
      <formula>NOT(ISERROR(SEARCH("ADD",A8)))</formula>
    </cfRule>
  </conditionalFormatting>
  <conditionalFormatting sqref="A8">
    <cfRule type="containsText" dxfId="130" priority="5" operator="containsText" text="DELETE">
      <formula>NOT(ISERROR(SEARCH("DELETE",A8)))</formula>
    </cfRule>
    <cfRule type="containsText" dxfId="129" priority="6" operator="containsText" text="MODIFY">
      <formula>NOT(ISERROR(SEARCH("MODIFY",A8)))</formula>
    </cfRule>
    <cfRule type="containsText" dxfId="128" priority="7" operator="containsText" text="No ACTION">
      <formula>NOT(ISERROR(SEARCH("No ACTION",A8)))</formula>
    </cfRule>
  </conditionalFormatting>
  <conditionalFormatting sqref="A6:A7">
    <cfRule type="containsText" dxfId="127" priority="4" operator="containsText" text="ADD">
      <formula>NOT(ISERROR(SEARCH("ADD",A6)))</formula>
    </cfRule>
  </conditionalFormatting>
  <conditionalFormatting sqref="A6:A7">
    <cfRule type="containsText" dxfId="126" priority="1" operator="containsText" text="DELETE">
      <formula>NOT(ISERROR(SEARCH("DELETE",A6)))</formula>
    </cfRule>
    <cfRule type="containsText" dxfId="125" priority="2" operator="containsText" text="MODIFY">
      <formula>NOT(ISERROR(SEARCH("MODIFY",A6)))</formula>
    </cfRule>
    <cfRule type="containsText" dxfId="124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 Only Country Code (1-3 digits) is mandatory_x000a_            Length Range: 1..15" sqref="C6:C8">
      <formula1>0</formula1>
      <formula2>15</formula2>
    </dataValidation>
    <dataValidation type="whole" allowBlank="1" showInputMessage="1" showErrorMessage="1" sqref="D6:D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D67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20" customWidth="1"/>
    <col min="2" max="2" width="19.85546875" style="20" customWidth="1"/>
    <col min="3" max="3" width="36.5703125" style="20" customWidth="1"/>
    <col min="4" max="4" width="25.140625" style="20" customWidth="1"/>
    <col min="5" max="16384" width="23.85546875" style="20"/>
  </cols>
  <sheetData>
    <row r="1" spans="1:4" ht="18.75" x14ac:dyDescent="0.25">
      <c r="A1" s="19" t="s">
        <v>9</v>
      </c>
      <c r="C1"/>
    </row>
    <row r="2" spans="1:4" x14ac:dyDescent="0.25">
      <c r="B2" s="21" t="s">
        <v>104</v>
      </c>
      <c r="C2" s="32" t="s">
        <v>629</v>
      </c>
    </row>
    <row r="3" spans="1:4" ht="25.5" x14ac:dyDescent="0.25">
      <c r="A3" s="21" t="s">
        <v>105</v>
      </c>
      <c r="B3" s="29" t="s">
        <v>626</v>
      </c>
      <c r="C3" s="29" t="s">
        <v>627</v>
      </c>
      <c r="D3" s="29" t="s">
        <v>628</v>
      </c>
    </row>
    <row r="4" spans="1:4" ht="25.5" x14ac:dyDescent="0.25">
      <c r="A4" s="21" t="s">
        <v>125</v>
      </c>
      <c r="B4" s="30" t="s">
        <v>126</v>
      </c>
      <c r="C4" s="30" t="s">
        <v>629</v>
      </c>
      <c r="D4" s="30" t="s">
        <v>265</v>
      </c>
    </row>
    <row r="5" spans="1:4" ht="60.75" x14ac:dyDescent="0.25">
      <c r="A5" s="28" t="s">
        <v>150</v>
      </c>
      <c r="B5" s="27" t="s">
        <v>171</v>
      </c>
      <c r="C5" s="27" t="s">
        <v>630</v>
      </c>
      <c r="D5" s="27" t="s">
        <v>631</v>
      </c>
    </row>
    <row r="6" spans="1:4" s="23" customFormat="1" ht="11.25" hidden="1" x14ac:dyDescent="0.2">
      <c r="A6" s="22" t="s">
        <v>1001</v>
      </c>
      <c r="B6" s="76"/>
      <c r="C6" s="81"/>
      <c r="D6" s="81"/>
    </row>
    <row r="7" spans="1:4" s="23" customFormat="1" ht="11.25" x14ac:dyDescent="0.2">
      <c r="A7" s="22" t="s">
        <v>145</v>
      </c>
      <c r="B7" s="87">
        <v>44556</v>
      </c>
      <c r="C7" s="88">
        <v>0</v>
      </c>
      <c r="D7" s="88" t="s">
        <v>274</v>
      </c>
    </row>
    <row r="8" spans="1:4" s="23" customFormat="1" ht="11.25" x14ac:dyDescent="0.2">
      <c r="A8" s="22" t="s">
        <v>145</v>
      </c>
      <c r="B8" s="87">
        <v>777890</v>
      </c>
      <c r="C8" s="25"/>
      <c r="D8" s="88" t="s">
        <v>272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23" priority="8" operator="containsText" text="ADD">
      <formula>NOT(ISERROR(SEARCH("ADD",A8)))</formula>
    </cfRule>
  </conditionalFormatting>
  <conditionalFormatting sqref="A8">
    <cfRule type="containsText" dxfId="122" priority="5" operator="containsText" text="DELETE">
      <formula>NOT(ISERROR(SEARCH("DELETE",A8)))</formula>
    </cfRule>
    <cfRule type="containsText" dxfId="121" priority="6" operator="containsText" text="MODIFY">
      <formula>NOT(ISERROR(SEARCH("MODIFY",A8)))</formula>
    </cfRule>
    <cfRule type="containsText" dxfId="120" priority="7" operator="containsText" text="No ACTION">
      <formula>NOT(ISERROR(SEARCH("No ACTION",A8)))</formula>
    </cfRule>
  </conditionalFormatting>
  <conditionalFormatting sqref="A6:A7">
    <cfRule type="containsText" dxfId="119" priority="4" operator="containsText" text="ADD">
      <formula>NOT(ISERROR(SEARCH("ADD",A6)))</formula>
    </cfRule>
  </conditionalFormatting>
  <conditionalFormatting sqref="A6:A7">
    <cfRule type="containsText" dxfId="118" priority="1" operator="containsText" text="DELETE">
      <formula>NOT(ISERROR(SEARCH("DELETE",A6)))</formula>
    </cfRule>
    <cfRule type="containsText" dxfId="117" priority="2" operator="containsText" text="MODIFY">
      <formula>NOT(ISERROR(SEARCH("MODIFY",A6)))</formula>
    </cfRule>
    <cfRule type="containsText" dxfId="116" priority="3" operator="containsText" text="No ACTION">
      <formula>NOT(ISERROR(SEARCH("No ACTION",A6)))</formula>
    </cfRule>
  </conditionalFormatting>
  <dataValidations count="4">
    <dataValidation type="list" allowBlank="1" showInputMessage="1" showErrorMessage="1" sqref="D6:D8">
      <formula1>"roamingRestrictions,barringOfOutgoingCalls,barringOfOutgoingCallsExceptTS22,noReplacement"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1 – 9 999 available EMOICK values Default is 0" sqref="C6:C8">
      <formula1>0</formula1>
      <formula2>9999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V9"/>
  <sheetViews>
    <sheetView topLeftCell="I1" workbookViewId="0">
      <selection activeCell="R9" sqref="R9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7.42578125" style="20" customWidth="1"/>
    <col min="5" max="5" width="23.85546875" style="20"/>
    <col min="6" max="6" width="16.5703125" style="20" customWidth="1"/>
    <col min="7" max="8" width="31.5703125" style="20" customWidth="1"/>
    <col min="9" max="9" width="17.7109375" style="20" customWidth="1"/>
    <col min="10" max="10" width="24.85546875" style="20" customWidth="1"/>
    <col min="11" max="11" width="17.85546875" style="20" customWidth="1"/>
    <col min="12" max="12" width="23.85546875" style="20"/>
    <col min="13" max="13" width="16.5703125" style="20" customWidth="1"/>
    <col min="14" max="15" width="31.5703125" style="20" customWidth="1"/>
    <col min="16" max="16" width="17.7109375" style="20" customWidth="1"/>
    <col min="17" max="17" width="24.85546875" style="20" customWidth="1"/>
    <col min="18" max="18" width="17.85546875" style="20" customWidth="1"/>
    <col min="19" max="20" width="20.140625" style="20" customWidth="1"/>
    <col min="21" max="22" width="19.42578125" style="20" customWidth="1"/>
    <col min="23" max="16384" width="23.85546875" style="20"/>
  </cols>
  <sheetData>
    <row r="1" spans="1:22" ht="18.75" x14ac:dyDescent="0.25">
      <c r="A1" s="19" t="s">
        <v>9</v>
      </c>
    </row>
    <row r="2" spans="1:22" ht="25.5" x14ac:dyDescent="0.25">
      <c r="B2" s="21" t="s">
        <v>104</v>
      </c>
      <c r="C2" s="32" t="s">
        <v>26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</row>
    <row r="3" spans="1:22" ht="96.75" x14ac:dyDescent="0.25">
      <c r="A3" s="21" t="s">
        <v>105</v>
      </c>
      <c r="B3" s="29" t="s">
        <v>26</v>
      </c>
      <c r="C3" s="29" t="s">
        <v>227</v>
      </c>
      <c r="D3" s="29" t="s">
        <v>632</v>
      </c>
      <c r="E3" s="41" t="s">
        <v>646</v>
      </c>
      <c r="F3" s="41" t="s">
        <v>647</v>
      </c>
      <c r="G3" s="41" t="s">
        <v>648</v>
      </c>
      <c r="H3" s="41" t="s">
        <v>649</v>
      </c>
      <c r="I3" s="42" t="s">
        <v>650</v>
      </c>
      <c r="J3" s="42" t="s">
        <v>651</v>
      </c>
      <c r="K3" s="41" t="s">
        <v>652</v>
      </c>
      <c r="L3" s="41" t="s">
        <v>653</v>
      </c>
      <c r="M3" s="41" t="s">
        <v>654</v>
      </c>
      <c r="N3" s="41" t="s">
        <v>655</v>
      </c>
      <c r="O3" s="41" t="s">
        <v>656</v>
      </c>
      <c r="P3" s="42" t="s">
        <v>657</v>
      </c>
      <c r="Q3" s="42" t="s">
        <v>658</v>
      </c>
      <c r="R3" s="41" t="s">
        <v>659</v>
      </c>
      <c r="S3" s="29" t="s">
        <v>633</v>
      </c>
      <c r="T3" s="29" t="s">
        <v>633</v>
      </c>
      <c r="U3" s="29" t="s">
        <v>634</v>
      </c>
      <c r="V3" s="29" t="s">
        <v>634</v>
      </c>
    </row>
    <row r="4" spans="1:22" ht="25.5" x14ac:dyDescent="0.25">
      <c r="A4" s="21" t="s">
        <v>125</v>
      </c>
      <c r="B4" s="30" t="s">
        <v>126</v>
      </c>
      <c r="C4" s="30" t="s">
        <v>228</v>
      </c>
      <c r="D4" s="30" t="s">
        <v>229</v>
      </c>
      <c r="E4" s="30" t="s">
        <v>231</v>
      </c>
      <c r="F4" s="30" t="s">
        <v>232</v>
      </c>
      <c r="G4" s="30" t="s">
        <v>233</v>
      </c>
      <c r="H4" s="30" t="s">
        <v>234</v>
      </c>
      <c r="I4" s="30" t="s">
        <v>497</v>
      </c>
      <c r="J4" s="30" t="s">
        <v>635</v>
      </c>
      <c r="K4" s="30" t="s">
        <v>230</v>
      </c>
      <c r="L4" s="30" t="s">
        <v>231</v>
      </c>
      <c r="M4" s="30" t="s">
        <v>232</v>
      </c>
      <c r="N4" s="30" t="s">
        <v>233</v>
      </c>
      <c r="O4" s="30" t="s">
        <v>234</v>
      </c>
      <c r="P4" s="30" t="s">
        <v>497</v>
      </c>
      <c r="Q4" s="30" t="s">
        <v>635</v>
      </c>
      <c r="R4" s="30" t="s">
        <v>230</v>
      </c>
      <c r="S4" s="30" t="s">
        <v>636</v>
      </c>
      <c r="T4" s="30" t="s">
        <v>637</v>
      </c>
      <c r="U4" s="30" t="s">
        <v>638</v>
      </c>
      <c r="V4" s="30" t="s">
        <v>639</v>
      </c>
    </row>
    <row r="5" spans="1:22" ht="114.75" x14ac:dyDescent="0.25">
      <c r="A5" s="28" t="s">
        <v>150</v>
      </c>
      <c r="B5" s="27" t="s">
        <v>171</v>
      </c>
      <c r="C5" s="31" t="s">
        <v>640</v>
      </c>
      <c r="D5" s="27" t="s">
        <v>641</v>
      </c>
      <c r="E5" s="31" t="s">
        <v>642</v>
      </c>
      <c r="F5" s="31" t="s">
        <v>643</v>
      </c>
      <c r="G5" s="68" t="s">
        <v>1010</v>
      </c>
      <c r="H5" s="31" t="s">
        <v>236</v>
      </c>
      <c r="I5" s="31" t="s">
        <v>644</v>
      </c>
      <c r="J5" s="31" t="s">
        <v>574</v>
      </c>
      <c r="K5" s="31" t="s">
        <v>235</v>
      </c>
      <c r="L5" s="31" t="s">
        <v>243</v>
      </c>
      <c r="M5" s="31" t="s">
        <v>643</v>
      </c>
      <c r="N5" s="68" t="s">
        <v>1010</v>
      </c>
      <c r="O5" s="31" t="s">
        <v>236</v>
      </c>
      <c r="P5" s="31" t="s">
        <v>644</v>
      </c>
      <c r="Q5" s="31" t="s">
        <v>574</v>
      </c>
      <c r="R5" s="31" t="s">
        <v>235</v>
      </c>
      <c r="S5" s="31" t="s">
        <v>645</v>
      </c>
      <c r="T5" s="31" t="s">
        <v>645</v>
      </c>
      <c r="U5" s="31" t="s">
        <v>645</v>
      </c>
      <c r="V5" s="31" t="s">
        <v>642</v>
      </c>
    </row>
    <row r="6" spans="1:22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</row>
    <row r="7" spans="1:22" s="23" customFormat="1" ht="11.25" x14ac:dyDescent="0.2">
      <c r="A7" s="22" t="s">
        <v>145</v>
      </c>
      <c r="B7" s="87" t="s">
        <v>239</v>
      </c>
      <c r="C7" s="88" t="s">
        <v>236</v>
      </c>
      <c r="D7" s="88" t="s">
        <v>240</v>
      </c>
      <c r="E7" s="25"/>
      <c r="F7" s="25"/>
      <c r="G7" s="88">
        <v>222</v>
      </c>
      <c r="H7" s="25"/>
      <c r="I7" s="88" t="s">
        <v>237</v>
      </c>
      <c r="J7" s="25"/>
      <c r="K7" s="88" t="s">
        <v>238</v>
      </c>
      <c r="L7" s="25"/>
      <c r="M7" s="25"/>
      <c r="N7" s="88">
        <v>22</v>
      </c>
      <c r="O7" s="88" t="s">
        <v>998</v>
      </c>
      <c r="P7" s="88" t="s">
        <v>237</v>
      </c>
      <c r="Q7" s="25"/>
      <c r="R7" s="88" t="s">
        <v>238</v>
      </c>
      <c r="S7" s="25"/>
      <c r="T7" s="25"/>
      <c r="U7" s="25"/>
      <c r="V7" s="25"/>
    </row>
    <row r="8" spans="1:22" s="23" customFormat="1" ht="11.25" x14ac:dyDescent="0.2">
      <c r="A8" s="22" t="s">
        <v>145</v>
      </c>
      <c r="B8" s="87" t="s">
        <v>746</v>
      </c>
      <c r="C8" s="88" t="s">
        <v>236</v>
      </c>
      <c r="D8" s="88" t="s">
        <v>240</v>
      </c>
      <c r="E8" s="25"/>
      <c r="F8" s="88" t="s">
        <v>994</v>
      </c>
      <c r="G8" s="88">
        <v>231</v>
      </c>
      <c r="H8" s="25"/>
      <c r="I8" s="88" t="s">
        <v>237</v>
      </c>
      <c r="J8" s="25"/>
      <c r="K8" s="88" t="s">
        <v>238</v>
      </c>
      <c r="L8" s="25"/>
      <c r="M8" s="88" t="s">
        <v>997</v>
      </c>
      <c r="N8" s="88">
        <v>33</v>
      </c>
      <c r="O8" s="25"/>
      <c r="P8" s="88" t="s">
        <v>237</v>
      </c>
      <c r="Q8" s="25"/>
      <c r="R8" s="88" t="s">
        <v>238</v>
      </c>
      <c r="S8" s="88" t="s">
        <v>999</v>
      </c>
      <c r="T8" s="88" t="s">
        <v>1000</v>
      </c>
      <c r="U8" s="88" t="s">
        <v>995</v>
      </c>
      <c r="V8" s="88" t="s">
        <v>993</v>
      </c>
    </row>
    <row r="9" spans="1:22" s="23" customFormat="1" ht="11.25" x14ac:dyDescent="0.2">
      <c r="A9" s="22" t="s">
        <v>145</v>
      </c>
      <c r="B9" s="87" t="s">
        <v>241</v>
      </c>
      <c r="C9" s="88" t="s">
        <v>236</v>
      </c>
      <c r="D9" s="88" t="s">
        <v>242</v>
      </c>
      <c r="E9" s="25"/>
      <c r="F9" s="25"/>
      <c r="G9" s="25"/>
      <c r="H9" s="88" t="s">
        <v>995</v>
      </c>
      <c r="I9" s="88" t="s">
        <v>237</v>
      </c>
      <c r="J9" s="88" t="s">
        <v>996</v>
      </c>
      <c r="K9" s="88" t="s">
        <v>238</v>
      </c>
      <c r="L9" s="25"/>
      <c r="M9" s="25"/>
      <c r="N9" s="25"/>
      <c r="O9" s="25"/>
      <c r="P9" s="88" t="s">
        <v>237</v>
      </c>
      <c r="Q9" s="25"/>
      <c r="R9" s="88" t="s">
        <v>238</v>
      </c>
      <c r="S9" s="25"/>
      <c r="T9" s="25"/>
      <c r="U9" s="25"/>
      <c r="V9" s="25"/>
    </row>
  </sheetData>
  <mergeCells count="2">
    <mergeCell ref="E2:K2"/>
    <mergeCell ref="L2:R2"/>
  </mergeCells>
  <conditionalFormatting sqref="A9">
    <cfRule type="containsText" dxfId="115" priority="12" operator="containsText" text="ADD">
      <formula>NOT(ISERROR(SEARCH("ADD",A9)))</formula>
    </cfRule>
  </conditionalFormatting>
  <conditionalFormatting sqref="A9">
    <cfRule type="containsText" dxfId="114" priority="9" operator="containsText" text="DELETE">
      <formula>NOT(ISERROR(SEARCH("DELETE",A9)))</formula>
    </cfRule>
    <cfRule type="containsText" dxfId="113" priority="10" operator="containsText" text="MODIFY">
      <formula>NOT(ISERROR(SEARCH("MODIFY",A9)))</formula>
    </cfRule>
    <cfRule type="containsText" dxfId="112" priority="11" operator="containsText" text="No ACTION">
      <formula>NOT(ISERROR(SEARCH("No ACTION",A9)))</formula>
    </cfRule>
  </conditionalFormatting>
  <conditionalFormatting sqref="A6:A7">
    <cfRule type="containsText" dxfId="111" priority="8" operator="containsText" text="ADD">
      <formula>NOT(ISERROR(SEARCH("ADD",A6)))</formula>
    </cfRule>
  </conditionalFormatting>
  <conditionalFormatting sqref="A6:A7">
    <cfRule type="containsText" dxfId="110" priority="5" operator="containsText" text="DELETE">
      <formula>NOT(ISERROR(SEARCH("DELETE",A6)))</formula>
    </cfRule>
    <cfRule type="containsText" dxfId="109" priority="6" operator="containsText" text="MODIFY">
      <formula>NOT(ISERROR(SEARCH("MODIFY",A6)))</formula>
    </cfRule>
    <cfRule type="containsText" dxfId="108" priority="7" operator="containsText" text="No ACTION">
      <formula>NOT(ISERROR(SEARCH("No ACTION",A6)))</formula>
    </cfRule>
  </conditionalFormatting>
  <conditionalFormatting sqref="A8">
    <cfRule type="containsText" dxfId="107" priority="4" operator="containsText" text="ADD">
      <formula>NOT(ISERROR(SEARCH("ADD",A8)))</formula>
    </cfRule>
  </conditionalFormatting>
  <conditionalFormatting sqref="A8">
    <cfRule type="containsText" dxfId="106" priority="1" operator="containsText" text="DELETE">
      <formula>NOT(ISERROR(SEARCH("DELETE",A8)))</formula>
    </cfRule>
    <cfRule type="containsText" dxfId="105" priority="2" operator="containsText" text="MODIFY">
      <formula>NOT(ISERROR(SEARCH("MODIFY",A8)))</formula>
    </cfRule>
    <cfRule type="containsText" dxfId="104" priority="3" operator="containsText" text="No ACTION">
      <formula>NOT(ISERROR(SEARCH("No ACTION",A8)))</formula>
    </cfRule>
  </conditionalFormatting>
  <dataValidations count="9">
    <dataValidation type="list" showInputMessage="1" showErrorMessage="1" sqref="A6:A9">
      <formula1>"ADD,MODIFY,DELETE,NO ACTION"</formula1>
    </dataValidation>
    <dataValidation type="list" showInputMessage="1" showErrorMessage="1" sqref="L6:L9">
      <formula1>"whole"</formula1>
    </dataValidation>
    <dataValidation type="list" allowBlank="1" showInputMessage="1" showErrorMessage="1" sqref="F6:F9 M6:M9">
      <formula1>"delete,predelete,postdelete,replace,prefix,postfix,replaceWithToken,preAddToken,postAddToken"</formula1>
    </dataValidation>
    <dataValidation type="list" allowBlank="1" showInputMessage="1" showErrorMessage="1" sqref="E6:E9 V6:V9">
      <formula1>"whole,match,prematch,postmatch"</formula1>
    </dataValidation>
    <dataValidation type="list" allowBlank="1" showInputMessage="1" showErrorMessage="1" sqref="K6:K9 R6:R9">
      <formula1>"success,failure"</formula1>
    </dataValidation>
    <dataValidation type="list" allowBlank="1" showInputMessage="1" showErrorMessage="1" sqref="I6:I9 P6:P9">
      <formula1>"finish,rule,ruleSet"</formula1>
    </dataValidation>
    <dataValidation type="list" allowBlank="1" showInputMessage="1" showErrorMessage="1" sqref="C6:C9">
      <formula1>"string,token"</formula1>
    </dataValidation>
    <dataValidation type="textLength" allowBlank="1" showInputMessage="1" showErrorMessage="1" error="String:_x000a_1..10 characters" sqref="B6:B9">
      <formula1>0</formula1>
      <formula2>10</formula2>
    </dataValidation>
    <dataValidation type="whole" allowBlank="1" showInputMessage="1" showErrorMessage="1" sqref="N6:N9 G6:G9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D67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7.42578125" style="20" customWidth="1"/>
    <col min="5" max="16384" width="23.85546875" style="20"/>
  </cols>
  <sheetData>
    <row r="1" spans="1:4" ht="18.75" x14ac:dyDescent="0.25">
      <c r="A1" s="19" t="s">
        <v>9</v>
      </c>
    </row>
    <row r="2" spans="1:4" ht="25.5" x14ac:dyDescent="0.25">
      <c r="B2" s="21" t="s">
        <v>104</v>
      </c>
      <c r="C2" s="32" t="s">
        <v>27</v>
      </c>
    </row>
    <row r="3" spans="1:4" ht="48.75" x14ac:dyDescent="0.25">
      <c r="A3" s="21" t="s">
        <v>105</v>
      </c>
      <c r="B3" s="29"/>
      <c r="C3" s="29" t="s">
        <v>244</v>
      </c>
      <c r="D3" s="29" t="s">
        <v>245</v>
      </c>
    </row>
    <row r="4" spans="1:4" ht="25.5" x14ac:dyDescent="0.25">
      <c r="A4" s="21" t="s">
        <v>125</v>
      </c>
      <c r="B4" s="30" t="s">
        <v>126</v>
      </c>
      <c r="C4" s="30" t="s">
        <v>246</v>
      </c>
      <c r="D4" s="30" t="s">
        <v>247</v>
      </c>
    </row>
    <row r="5" spans="1:4" ht="36.75" x14ac:dyDescent="0.25">
      <c r="A5" s="28" t="s">
        <v>150</v>
      </c>
      <c r="B5" s="27" t="s">
        <v>171</v>
      </c>
      <c r="C5" s="68" t="s">
        <v>1010</v>
      </c>
      <c r="D5" s="31" t="s">
        <v>236</v>
      </c>
    </row>
    <row r="6" spans="1:4" s="23" customFormat="1" ht="11.25" hidden="1" x14ac:dyDescent="0.2">
      <c r="A6" s="22" t="s">
        <v>1001</v>
      </c>
      <c r="B6" s="76"/>
      <c r="C6" s="81"/>
      <c r="D6" s="81"/>
    </row>
    <row r="7" spans="1:4" s="23" customFormat="1" ht="11.25" x14ac:dyDescent="0.2">
      <c r="A7" s="22" t="s">
        <v>145</v>
      </c>
      <c r="B7" s="87" t="s">
        <v>249</v>
      </c>
      <c r="C7" s="88">
        <v>223</v>
      </c>
      <c r="D7" s="88" t="s">
        <v>239</v>
      </c>
    </row>
    <row r="8" spans="1:4" s="23" customFormat="1" ht="11.25" x14ac:dyDescent="0.2">
      <c r="A8" s="22" t="s">
        <v>145</v>
      </c>
      <c r="B8" s="87" t="s">
        <v>250</v>
      </c>
      <c r="C8" s="88">
        <v>234</v>
      </c>
      <c r="D8" s="88" t="s">
        <v>241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03" priority="8" operator="containsText" text="ADD">
      <formula>NOT(ISERROR(SEARCH("ADD",A8)))</formula>
    </cfRule>
  </conditionalFormatting>
  <conditionalFormatting sqref="A8">
    <cfRule type="containsText" dxfId="102" priority="5" operator="containsText" text="DELETE">
      <formula>NOT(ISERROR(SEARCH("DELETE",A8)))</formula>
    </cfRule>
    <cfRule type="containsText" dxfId="101" priority="6" operator="containsText" text="MODIFY">
      <formula>NOT(ISERROR(SEARCH("MODIFY",A8)))</formula>
    </cfRule>
    <cfRule type="containsText" dxfId="100" priority="7" operator="containsText" text="No ACTION">
      <formula>NOT(ISERROR(SEARCH("No ACTION",A8)))</formula>
    </cfRule>
  </conditionalFormatting>
  <conditionalFormatting sqref="A6:A7">
    <cfRule type="containsText" dxfId="99" priority="4" operator="containsText" text="ADD">
      <formula>NOT(ISERROR(SEARCH("ADD",A6)))</formula>
    </cfRule>
  </conditionalFormatting>
  <conditionalFormatting sqref="A6:A7">
    <cfRule type="containsText" dxfId="98" priority="1" operator="containsText" text="DELETE">
      <formula>NOT(ISERROR(SEARCH("DELETE",A6)))</formula>
    </cfRule>
    <cfRule type="containsText" dxfId="97" priority="2" operator="containsText" text="MODIFY">
      <formula>NOT(ISERROR(SEARCH("MODIFY",A6)))</formula>
    </cfRule>
    <cfRule type="containsText" dxfId="96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C6:C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NbrRule!$B$6:$B$1048576</xm:f>
          </x14:formula1>
          <xm:sqref>D6:D8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D8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7.42578125" style="20" customWidth="1"/>
    <col min="5" max="9" width="23.85546875" style="20"/>
    <col min="10" max="10" width="16.5703125" style="20" customWidth="1"/>
    <col min="11" max="12" width="31.5703125" style="20" customWidth="1"/>
    <col min="13" max="13" width="20.140625" style="20" customWidth="1"/>
    <col min="14" max="14" width="19.42578125" style="20" customWidth="1"/>
    <col min="15" max="16384" width="23.85546875" style="20"/>
  </cols>
  <sheetData>
    <row r="1" spans="1:4" ht="18.75" x14ac:dyDescent="0.25">
      <c r="A1" s="19" t="s">
        <v>9</v>
      </c>
    </row>
    <row r="2" spans="1:4" ht="25.5" x14ac:dyDescent="0.25">
      <c r="B2" s="21" t="s">
        <v>104</v>
      </c>
      <c r="C2" s="32" t="s">
        <v>29</v>
      </c>
    </row>
    <row r="3" spans="1:4" ht="36.75" x14ac:dyDescent="0.25">
      <c r="A3" s="21" t="s">
        <v>105</v>
      </c>
      <c r="B3" s="29"/>
      <c r="C3" s="29" t="s">
        <v>251</v>
      </c>
      <c r="D3" s="29" t="s">
        <v>252</v>
      </c>
    </row>
    <row r="4" spans="1:4" ht="25.5" x14ac:dyDescent="0.25">
      <c r="A4" s="21" t="s">
        <v>125</v>
      </c>
      <c r="B4" s="30" t="s">
        <v>126</v>
      </c>
      <c r="C4" s="30" t="s">
        <v>253</v>
      </c>
      <c r="D4" s="30" t="s">
        <v>254</v>
      </c>
    </row>
    <row r="5" spans="1:4" ht="36.75" x14ac:dyDescent="0.25">
      <c r="A5" s="28" t="s">
        <v>150</v>
      </c>
      <c r="B5" s="27" t="s">
        <v>171</v>
      </c>
      <c r="C5" s="68" t="s">
        <v>1010</v>
      </c>
      <c r="D5" s="31" t="s">
        <v>660</v>
      </c>
    </row>
    <row r="6" spans="1:4" s="23" customFormat="1" ht="11.25" hidden="1" x14ac:dyDescent="0.2">
      <c r="A6" s="22" t="s">
        <v>1001</v>
      </c>
      <c r="B6" s="76"/>
      <c r="C6" s="81"/>
      <c r="D6" s="81"/>
    </row>
    <row r="7" spans="1:4" s="23" customFormat="1" ht="11.25" x14ac:dyDescent="0.2">
      <c r="A7" s="22" t="s">
        <v>145</v>
      </c>
      <c r="B7" s="87">
        <v>2</v>
      </c>
      <c r="C7" s="88">
        <v>223</v>
      </c>
      <c r="D7" s="88" t="s">
        <v>250</v>
      </c>
    </row>
    <row r="8" spans="1:4" s="23" customFormat="1" ht="11.25" x14ac:dyDescent="0.2">
      <c r="A8" s="22" t="s">
        <v>145</v>
      </c>
      <c r="B8" s="87">
        <v>1</v>
      </c>
      <c r="C8" s="88">
        <v>234</v>
      </c>
      <c r="D8" s="88" t="s">
        <v>248</v>
      </c>
    </row>
  </sheetData>
  <conditionalFormatting sqref="A8">
    <cfRule type="containsText" dxfId="95" priority="8" operator="containsText" text="ADD">
      <formula>NOT(ISERROR(SEARCH("ADD",A8)))</formula>
    </cfRule>
  </conditionalFormatting>
  <conditionalFormatting sqref="A8">
    <cfRule type="containsText" dxfId="94" priority="5" operator="containsText" text="DELETE">
      <formula>NOT(ISERROR(SEARCH("DELETE",A8)))</formula>
    </cfRule>
    <cfRule type="containsText" dxfId="93" priority="6" operator="containsText" text="MODIFY">
      <formula>NOT(ISERROR(SEARCH("MODIFY",A8)))</formula>
    </cfRule>
    <cfRule type="containsText" dxfId="92" priority="7" operator="containsText" text="No ACTION">
      <formula>NOT(ISERROR(SEARCH("No ACTION",A8)))</formula>
    </cfRule>
  </conditionalFormatting>
  <conditionalFormatting sqref="A6:A7">
    <cfRule type="containsText" dxfId="91" priority="4" operator="containsText" text="ADD">
      <formula>NOT(ISERROR(SEARCH("ADD",A6)))</formula>
    </cfRule>
  </conditionalFormatting>
  <conditionalFormatting sqref="A6:A7">
    <cfRule type="containsText" dxfId="90" priority="1" operator="containsText" text="DELETE">
      <formula>NOT(ISERROR(SEARCH("DELETE",A6)))</formula>
    </cfRule>
    <cfRule type="containsText" dxfId="89" priority="2" operator="containsText" text="MODIFY">
      <formula>NOT(ISERROR(SEARCH("MODIFY",A6)))</formula>
    </cfRule>
    <cfRule type="containsText" dxfId="88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C6:C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E9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7.42578125" style="20" customWidth="1"/>
    <col min="5" max="5" width="17.7109375" style="20" customWidth="1"/>
    <col min="6" max="9" width="23.85546875" style="20"/>
    <col min="10" max="10" width="16.5703125" style="20" customWidth="1"/>
    <col min="11" max="12" width="31.5703125" style="20" customWidth="1"/>
    <col min="13" max="13" width="20.140625" style="20" customWidth="1"/>
    <col min="14" max="14" width="19.42578125" style="20" customWidth="1"/>
    <col min="15" max="16384" width="23.85546875" style="20"/>
  </cols>
  <sheetData>
    <row r="1" spans="1:5" ht="18.75" x14ac:dyDescent="0.25">
      <c r="A1" s="19" t="s">
        <v>9</v>
      </c>
    </row>
    <row r="2" spans="1:5" ht="25.5" x14ac:dyDescent="0.25">
      <c r="B2" s="21" t="s">
        <v>104</v>
      </c>
      <c r="C2" s="32" t="s">
        <v>24</v>
      </c>
    </row>
    <row r="3" spans="1:5" ht="36.75" x14ac:dyDescent="0.25">
      <c r="A3" s="21" t="s">
        <v>105</v>
      </c>
      <c r="B3" s="29" t="s">
        <v>24</v>
      </c>
      <c r="C3" s="29" t="s">
        <v>256</v>
      </c>
      <c r="D3" s="29" t="s">
        <v>257</v>
      </c>
      <c r="E3" s="29" t="s">
        <v>258</v>
      </c>
    </row>
    <row r="4" spans="1:5" ht="25.5" x14ac:dyDescent="0.25">
      <c r="A4" s="21" t="s">
        <v>125</v>
      </c>
      <c r="B4" s="30" t="s">
        <v>126</v>
      </c>
      <c r="C4" s="30" t="s">
        <v>259</v>
      </c>
      <c r="D4" s="30" t="s">
        <v>661</v>
      </c>
      <c r="E4" s="30" t="s">
        <v>662</v>
      </c>
    </row>
    <row r="5" spans="1:5" ht="114.75" x14ac:dyDescent="0.25">
      <c r="A5" s="28" t="s">
        <v>150</v>
      </c>
      <c r="B5" s="67" t="s">
        <v>171</v>
      </c>
      <c r="C5" s="68" t="s">
        <v>670</v>
      </c>
      <c r="D5" s="31" t="s">
        <v>663</v>
      </c>
      <c r="E5" s="27" t="s">
        <v>236</v>
      </c>
    </row>
    <row r="6" spans="1:5" s="23" customFormat="1" ht="11.25" hidden="1" x14ac:dyDescent="0.2">
      <c r="A6" s="22" t="s">
        <v>1001</v>
      </c>
      <c r="B6" s="76"/>
      <c r="C6" s="81"/>
      <c r="D6" s="81"/>
      <c r="E6" s="81"/>
    </row>
    <row r="7" spans="1:5" s="23" customFormat="1" ht="11.25" x14ac:dyDescent="0.2">
      <c r="A7" s="22" t="s">
        <v>145</v>
      </c>
      <c r="B7" s="87" t="s">
        <v>1011</v>
      </c>
      <c r="C7" s="66"/>
      <c r="D7" s="88" t="s">
        <v>260</v>
      </c>
      <c r="E7" s="25"/>
    </row>
    <row r="8" spans="1:5" s="23" customFormat="1" ht="11.25" x14ac:dyDescent="0.2">
      <c r="A8" s="22" t="s">
        <v>145</v>
      </c>
      <c r="B8" s="87" t="s">
        <v>1012</v>
      </c>
      <c r="C8" s="66"/>
      <c r="D8" s="25"/>
      <c r="E8" s="25"/>
    </row>
    <row r="9" spans="1:5" x14ac:dyDescent="0.25">
      <c r="C9" s="64"/>
      <c r="D9" s="64"/>
    </row>
  </sheetData>
  <conditionalFormatting sqref="A6:A7">
    <cfRule type="containsText" dxfId="87" priority="4" operator="containsText" text="ADD">
      <formula>NOT(ISERROR(SEARCH("ADD",A6)))</formula>
    </cfRule>
  </conditionalFormatting>
  <conditionalFormatting sqref="A6:A7">
    <cfRule type="containsText" dxfId="86" priority="1" operator="containsText" text="DELETE">
      <formula>NOT(ISERROR(SEARCH("DELETE",A6)))</formula>
    </cfRule>
    <cfRule type="containsText" dxfId="85" priority="2" operator="containsText" text="MODIFY">
      <formula>NOT(ISERROR(SEARCH("MODIFY",A6)))</formula>
    </cfRule>
    <cfRule type="containsText" dxfId="84" priority="3" operator="containsText" text="No ACTION">
      <formula>NOT(ISERROR(SEARCH("No ACTION",A6)))</formula>
    </cfRule>
  </conditionalFormatting>
  <conditionalFormatting sqref="A8">
    <cfRule type="containsText" dxfId="83" priority="8" operator="containsText" text="ADD">
      <formula>NOT(ISERROR(SEARCH("ADD",A8)))</formula>
    </cfRule>
  </conditionalFormatting>
  <conditionalFormatting sqref="A8">
    <cfRule type="containsText" dxfId="82" priority="5" operator="containsText" text="DELETE">
      <formula>NOT(ISERROR(SEARCH("DELETE",A8)))</formula>
    </cfRule>
    <cfRule type="containsText" dxfId="81" priority="6" operator="containsText" text="MODIFY">
      <formula>NOT(ISERROR(SEARCH("MODIFY",A8)))</formula>
    </cfRule>
    <cfRule type="containsText" dxfId="80" priority="7" operator="containsText" text="No ACTION">
      <formula>NOT(ISERROR(SEARCH("No ACTION",A8)))</formula>
    </cfRule>
  </conditionalFormatting>
  <dataValidations count="4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"3gpp_router,nsn_router,3gpp_normal_enh1,no_tel_enh2,real_imsi_conf_vmsc_enh3""/,fix_imsi_fix_vmsc_enh4,ip_sm_gw,mss_multisim_ih,sms_prio_cond_overwrite"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Integer:_x000a_Range 1..65_x000a_535 of decimal_x000a_numbers" sqref="C6:C8">
      <formula1>0</formula1>
      <formula2>65535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V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7.42578125" style="20" customWidth="1"/>
    <col min="5" max="5" width="27.28515625" style="20" customWidth="1"/>
    <col min="6" max="10" width="23.85546875" style="20"/>
    <col min="11" max="11" width="16.5703125" style="20" customWidth="1"/>
    <col min="12" max="13" width="31.5703125" style="20" customWidth="1"/>
    <col min="14" max="14" width="20.140625" style="20" customWidth="1"/>
    <col min="15" max="15" width="19.42578125" style="20" customWidth="1"/>
    <col min="16" max="16384" width="23.85546875" style="20"/>
  </cols>
  <sheetData>
    <row r="1" spans="1:22" ht="18.75" x14ac:dyDescent="0.25">
      <c r="A1" s="19" t="s">
        <v>9</v>
      </c>
    </row>
    <row r="2" spans="1:22" ht="25.5" x14ac:dyDescent="0.25">
      <c r="B2" s="21" t="s">
        <v>104</v>
      </c>
      <c r="C2" s="32" t="s">
        <v>34</v>
      </c>
      <c r="V2" s="20" t="s">
        <v>407</v>
      </c>
    </row>
    <row r="3" spans="1:22" ht="25.5" x14ac:dyDescent="0.25">
      <c r="A3" s="21" t="s">
        <v>105</v>
      </c>
      <c r="B3" s="29" t="s">
        <v>664</v>
      </c>
      <c r="C3" s="29" t="s">
        <v>665</v>
      </c>
      <c r="D3" s="29" t="s">
        <v>666</v>
      </c>
      <c r="E3" s="29" t="s">
        <v>628</v>
      </c>
      <c r="F3" s="29" t="s">
        <v>667</v>
      </c>
      <c r="V3" s="20" t="s">
        <v>408</v>
      </c>
    </row>
    <row r="4" spans="1:22" ht="25.5" x14ac:dyDescent="0.25">
      <c r="A4" s="21" t="s">
        <v>125</v>
      </c>
      <c r="B4" s="30" t="s">
        <v>126</v>
      </c>
      <c r="C4" s="30" t="s">
        <v>668</v>
      </c>
      <c r="D4" s="30" t="s">
        <v>669</v>
      </c>
      <c r="E4" s="43" t="s">
        <v>265</v>
      </c>
      <c r="F4" s="30" t="s">
        <v>266</v>
      </c>
    </row>
    <row r="5" spans="1:22" ht="76.5" x14ac:dyDescent="0.25">
      <c r="A5" s="28" t="s">
        <v>150</v>
      </c>
      <c r="B5" s="67" t="s">
        <v>171</v>
      </c>
      <c r="C5" s="31" t="s">
        <v>670</v>
      </c>
      <c r="D5" s="31" t="s">
        <v>671</v>
      </c>
      <c r="E5" s="31" t="s">
        <v>672</v>
      </c>
      <c r="F5" s="31" t="s">
        <v>673</v>
      </c>
    </row>
    <row r="6" spans="1:22" s="23" customFormat="1" ht="11.25" hidden="1" x14ac:dyDescent="0.2">
      <c r="A6" s="22" t="s">
        <v>1001</v>
      </c>
      <c r="B6" s="76"/>
      <c r="C6" s="81"/>
      <c r="D6" s="81"/>
      <c r="E6" s="81"/>
      <c r="F6" s="81"/>
    </row>
    <row r="7" spans="1:22" s="23" customFormat="1" ht="11.25" x14ac:dyDescent="0.2">
      <c r="A7" s="22" t="s">
        <v>145</v>
      </c>
      <c r="B7" s="87" t="s">
        <v>1011</v>
      </c>
      <c r="C7" s="25"/>
      <c r="D7" s="25"/>
      <c r="E7" s="25"/>
      <c r="F7" s="25"/>
    </row>
    <row r="8" spans="1:22" s="23" customFormat="1" ht="11.25" x14ac:dyDescent="0.2">
      <c r="A8" s="22" t="s">
        <v>145</v>
      </c>
      <c r="B8" s="87" t="s">
        <v>1012</v>
      </c>
      <c r="C8" s="25"/>
      <c r="D8" s="25"/>
      <c r="E8" s="25"/>
      <c r="F8" s="25"/>
    </row>
  </sheetData>
  <conditionalFormatting sqref="A8">
    <cfRule type="containsText" dxfId="79" priority="8" operator="containsText" text="ADD">
      <formula>NOT(ISERROR(SEARCH("ADD",A8)))</formula>
    </cfRule>
  </conditionalFormatting>
  <conditionalFormatting sqref="A8">
    <cfRule type="containsText" dxfId="78" priority="5" operator="containsText" text="DELETE">
      <formula>NOT(ISERROR(SEARCH("DELETE",A8)))</formula>
    </cfRule>
    <cfRule type="containsText" dxfId="77" priority="6" operator="containsText" text="MODIFY">
      <formula>NOT(ISERROR(SEARCH("MODIFY",A8)))</formula>
    </cfRule>
    <cfRule type="containsText" dxfId="76" priority="7" operator="containsText" text="No ACTION">
      <formula>NOT(ISERROR(SEARCH("No ACTION",A8)))</formula>
    </cfRule>
  </conditionalFormatting>
  <conditionalFormatting sqref="A6:A7">
    <cfRule type="containsText" dxfId="75" priority="4" operator="containsText" text="ADD">
      <formula>NOT(ISERROR(SEARCH("ADD",A6)))</formula>
    </cfRule>
  </conditionalFormatting>
  <conditionalFormatting sqref="A6:A7">
    <cfRule type="containsText" dxfId="74" priority="1" operator="containsText" text="DELETE">
      <formula>NOT(ISERROR(SEARCH("DELETE",A6)))</formula>
    </cfRule>
    <cfRule type="containsText" dxfId="73" priority="2" operator="containsText" text="MODIFY">
      <formula>NOT(ISERROR(SEARCH("MODIFY",A6)))</formula>
    </cfRule>
    <cfRule type="containsText" dxfId="72" priority="3" operator="containsText" text="No ACTION">
      <formula>NOT(ISERROR(SEARCH("No ACTION",A6)))</formula>
    </cfRule>
  </conditionalFormatting>
  <dataValidations count="7">
    <dataValidation type="list" allowBlank="1" showInputMessage="1" showErrorMessage="1" sqref="F6:F8">
      <formula1>"replaceByBAIC,noReplacement"</formula1>
    </dataValidation>
    <dataValidation type="list" allowBlank="1" showInputMessage="1" showErrorMessage="1" sqref="D6:D8">
      <formula1>"full,limited,locationDependent"</formula1>
    </dataValidation>
    <dataValidation type="list" allowBlank="1" showInputMessage="1" showErrorMessage="1" sqref="E6:E8">
      <formula1>"roamingRestrictions,barringOfOutgoingCalls,barringOfOutgoingCallsExceptTS22,noReplacement"</formula1>
    </dataValidation>
    <dataValidation type="list" allowBlank="1" showInputMessage="1" showErrorMessage="1" sqref="E9:E17">
      <formula1>$V$2:$V$3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Integer:_x000a_Range 1..65_x000a_535 of decimal_x000a_numbers" sqref="C6:C8">
      <formula1>0</formula1>
      <formula2>65535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V8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27.42578125" style="20" customWidth="1"/>
    <col min="5" max="5" width="17.7109375" style="20" customWidth="1"/>
    <col min="6" max="10" width="23.85546875" style="20"/>
    <col min="11" max="11" width="16.5703125" style="20" customWidth="1"/>
    <col min="12" max="13" width="31.5703125" style="20" customWidth="1"/>
    <col min="14" max="14" width="20.140625" style="20" customWidth="1"/>
    <col min="15" max="15" width="19.42578125" style="20" customWidth="1"/>
    <col min="16" max="16384" width="23.85546875" style="20"/>
  </cols>
  <sheetData>
    <row r="1" spans="1:22" ht="18.75" x14ac:dyDescent="0.25">
      <c r="A1" s="19" t="s">
        <v>9</v>
      </c>
    </row>
    <row r="2" spans="1:22" ht="25.5" x14ac:dyDescent="0.25">
      <c r="B2" s="21" t="s">
        <v>104</v>
      </c>
      <c r="C2" s="32" t="s">
        <v>402</v>
      </c>
      <c r="V2" s="20" t="s">
        <v>407</v>
      </c>
    </row>
    <row r="3" spans="1:22" ht="25.5" x14ac:dyDescent="0.25">
      <c r="A3" s="21" t="s">
        <v>105</v>
      </c>
      <c r="B3" s="29" t="s">
        <v>189</v>
      </c>
      <c r="C3" s="29" t="s">
        <v>398</v>
      </c>
      <c r="D3" s="29" t="s">
        <v>398</v>
      </c>
      <c r="E3" s="29" t="s">
        <v>352</v>
      </c>
      <c r="V3" s="20" t="s">
        <v>408</v>
      </c>
    </row>
    <row r="4" spans="1:22" ht="25.5" x14ac:dyDescent="0.25">
      <c r="A4" s="21" t="s">
        <v>125</v>
      </c>
      <c r="B4" s="30" t="s">
        <v>126</v>
      </c>
      <c r="C4" s="30" t="s">
        <v>417</v>
      </c>
      <c r="D4" s="30" t="s">
        <v>418</v>
      </c>
      <c r="E4" s="30" t="s">
        <v>419</v>
      </c>
    </row>
    <row r="5" spans="1:22" ht="36.75" x14ac:dyDescent="0.25">
      <c r="A5" s="28" t="s">
        <v>150</v>
      </c>
      <c r="B5" s="67" t="s">
        <v>171</v>
      </c>
      <c r="C5" s="31" t="s">
        <v>674</v>
      </c>
      <c r="D5" s="31" t="s">
        <v>674</v>
      </c>
      <c r="E5" s="31" t="s">
        <v>675</v>
      </c>
    </row>
    <row r="6" spans="1:22" s="23" customFormat="1" ht="11.25" hidden="1" x14ac:dyDescent="0.2">
      <c r="A6" s="22" t="s">
        <v>1001</v>
      </c>
      <c r="B6" s="76"/>
      <c r="C6" s="81"/>
      <c r="D6" s="81"/>
      <c r="E6" s="81"/>
    </row>
    <row r="7" spans="1:22" s="23" customFormat="1" ht="11.25" x14ac:dyDescent="0.2">
      <c r="A7" s="22" t="s">
        <v>145</v>
      </c>
      <c r="B7" s="87" t="s">
        <v>1011</v>
      </c>
      <c r="C7" s="88">
        <v>4342</v>
      </c>
      <c r="D7" s="88">
        <v>2424</v>
      </c>
      <c r="E7" s="88" t="s">
        <v>407</v>
      </c>
    </row>
    <row r="8" spans="1:22" s="23" customFormat="1" ht="11.25" x14ac:dyDescent="0.2">
      <c r="A8" s="22" t="s">
        <v>145</v>
      </c>
      <c r="B8" s="87" t="s">
        <v>1012</v>
      </c>
      <c r="C8" s="88">
        <v>2424</v>
      </c>
      <c r="D8" s="88">
        <v>242</v>
      </c>
      <c r="E8" s="25"/>
    </row>
  </sheetData>
  <conditionalFormatting sqref="A8">
    <cfRule type="containsText" dxfId="71" priority="8" operator="containsText" text="ADD">
      <formula>NOT(ISERROR(SEARCH("ADD",A8)))</formula>
    </cfRule>
  </conditionalFormatting>
  <conditionalFormatting sqref="A8">
    <cfRule type="containsText" dxfId="70" priority="5" operator="containsText" text="DELETE">
      <formula>NOT(ISERROR(SEARCH("DELETE",A8)))</formula>
    </cfRule>
    <cfRule type="containsText" dxfId="69" priority="6" operator="containsText" text="MODIFY">
      <formula>NOT(ISERROR(SEARCH("MODIFY",A8)))</formula>
    </cfRule>
    <cfRule type="containsText" dxfId="68" priority="7" operator="containsText" text="No ACTION">
      <formula>NOT(ISERROR(SEARCH("No ACTION",A8)))</formula>
    </cfRule>
  </conditionalFormatting>
  <conditionalFormatting sqref="A6:A7">
    <cfRule type="containsText" dxfId="67" priority="4" operator="containsText" text="ADD">
      <formula>NOT(ISERROR(SEARCH("ADD",A6)))</formula>
    </cfRule>
  </conditionalFormatting>
  <conditionalFormatting sqref="A6:A7">
    <cfRule type="containsText" dxfId="66" priority="1" operator="containsText" text="DELETE">
      <formula>NOT(ISERROR(SEARCH("DELETE",A6)))</formula>
    </cfRule>
    <cfRule type="containsText" dxfId="65" priority="2" operator="containsText" text="MODIFY">
      <formula>NOT(ISERROR(SEARCH("MODIFY",A6)))</formula>
    </cfRule>
    <cfRule type="containsText" dxfId="64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list" allowBlank="1" showInputMessage="1" showErrorMessage="1" sqref="E6:E17">
      <formula1>$V$2:$V$3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S8"/>
  <sheetViews>
    <sheetView workbookViewId="0"/>
  </sheetViews>
  <sheetFormatPr defaultColWidth="23.85546875" defaultRowHeight="15" x14ac:dyDescent="0.25"/>
  <cols>
    <col min="1" max="1" width="13.5703125" style="20" customWidth="1"/>
    <col min="2" max="2" width="14.85546875" style="20" customWidth="1"/>
    <col min="3" max="3" width="36.5703125" style="20" customWidth="1"/>
    <col min="4" max="7" width="23.85546875" style="20"/>
    <col min="8" max="8" width="16.5703125" style="20" customWidth="1"/>
    <col min="9" max="10" width="31.5703125" style="20" customWidth="1"/>
    <col min="11" max="11" width="20.140625" style="20" customWidth="1"/>
    <col min="12" max="12" width="19.42578125" style="20" customWidth="1"/>
    <col min="13" max="16384" width="23.85546875" style="20"/>
  </cols>
  <sheetData>
    <row r="1" spans="1:19" ht="18.75" x14ac:dyDescent="0.25">
      <c r="A1" s="19" t="s">
        <v>9</v>
      </c>
    </row>
    <row r="2" spans="1:19" x14ac:dyDescent="0.25">
      <c r="B2" s="21" t="s">
        <v>104</v>
      </c>
      <c r="C2" s="32" t="s">
        <v>35</v>
      </c>
      <c r="S2" s="20" t="s">
        <v>407</v>
      </c>
    </row>
    <row r="3" spans="1:19" ht="25.5" x14ac:dyDescent="0.25">
      <c r="A3" s="21" t="s">
        <v>105</v>
      </c>
      <c r="B3" s="29" t="s">
        <v>676</v>
      </c>
      <c r="C3" s="29" t="s">
        <v>352</v>
      </c>
      <c r="S3" s="20" t="s">
        <v>408</v>
      </c>
    </row>
    <row r="4" spans="1:19" ht="25.5" x14ac:dyDescent="0.25">
      <c r="A4" s="21" t="s">
        <v>125</v>
      </c>
      <c r="B4" s="30" t="s">
        <v>126</v>
      </c>
      <c r="C4" s="30" t="s">
        <v>419</v>
      </c>
    </row>
    <row r="5" spans="1:19" ht="38.25" x14ac:dyDescent="0.25">
      <c r="A5" s="28" t="s">
        <v>150</v>
      </c>
      <c r="B5" s="67" t="s">
        <v>171</v>
      </c>
      <c r="C5" s="31" t="s">
        <v>677</v>
      </c>
    </row>
    <row r="6" spans="1:19" s="23" customFormat="1" ht="11.25" hidden="1" x14ac:dyDescent="0.2">
      <c r="A6" s="22" t="s">
        <v>1001</v>
      </c>
      <c r="B6" s="76"/>
      <c r="C6" s="81"/>
    </row>
    <row r="7" spans="1:19" x14ac:dyDescent="0.25">
      <c r="A7" s="65" t="s">
        <v>145</v>
      </c>
      <c r="B7" s="87" t="s">
        <v>1011</v>
      </c>
      <c r="C7" s="88" t="s">
        <v>334</v>
      </c>
    </row>
    <row r="8" spans="1:19" x14ac:dyDescent="0.25">
      <c r="A8" s="65" t="s">
        <v>145</v>
      </c>
      <c r="B8" s="87" t="s">
        <v>1012</v>
      </c>
      <c r="C8" s="88" t="s">
        <v>334</v>
      </c>
    </row>
  </sheetData>
  <conditionalFormatting sqref="A6:A8">
    <cfRule type="containsText" dxfId="63" priority="4" operator="containsText" text="ADD">
      <formula>NOT(ISERROR(SEARCH("ADD",A6)))</formula>
    </cfRule>
  </conditionalFormatting>
  <conditionalFormatting sqref="A6:A8">
    <cfRule type="containsText" dxfId="62" priority="1" operator="containsText" text="DELETE">
      <formula>NOT(ISERROR(SEARCH("DELETE",A6)))</formula>
    </cfRule>
    <cfRule type="containsText" dxfId="61" priority="2" operator="containsText" text="MODIFY">
      <formula>NOT(ISERROR(SEARCH("MODIFY",A6)))</formula>
    </cfRule>
    <cfRule type="containsText" dxfId="60" priority="3" operator="containsText" text="No ACTION">
      <formula>NOT(ISERROR(SEARCH("No ACTION",A6)))</formula>
    </cfRule>
  </conditionalFormatting>
  <dataValidations count="3">
    <dataValidation type="list" allowBlank="1" showInputMessage="1" showErrorMessage="1" errorTitle="Blank" error="Must be 'ns'" sqref="C6:C8">
      <formula1>"ns"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Q8"/>
  <sheetViews>
    <sheetView workbookViewId="0">
      <selection activeCell="E8" sqref="E8"/>
    </sheetView>
  </sheetViews>
  <sheetFormatPr defaultColWidth="23.85546875" defaultRowHeight="15" x14ac:dyDescent="0.25"/>
  <cols>
    <col min="1" max="1" width="13.5703125" style="20" customWidth="1"/>
    <col min="2" max="2" width="14.85546875" style="20" customWidth="1"/>
    <col min="3" max="3" width="36.5703125" style="20" customWidth="1"/>
    <col min="4" max="5" width="23.85546875" style="20"/>
    <col min="6" max="6" width="53.7109375" style="20" customWidth="1"/>
    <col min="7" max="8" width="31.5703125" style="20" customWidth="1"/>
    <col min="9" max="9" width="20.140625" style="20" customWidth="1"/>
    <col min="10" max="10" width="19.42578125" style="20" customWidth="1"/>
    <col min="11" max="16384" width="23.85546875" style="20"/>
  </cols>
  <sheetData>
    <row r="1" spans="1:17" ht="18.75" x14ac:dyDescent="0.25">
      <c r="A1" s="19" t="s">
        <v>9</v>
      </c>
    </row>
    <row r="2" spans="1:17" x14ac:dyDescent="0.25">
      <c r="B2" s="21" t="s">
        <v>104</v>
      </c>
      <c r="C2" s="32" t="s">
        <v>36</v>
      </c>
      <c r="D2" s="380" t="s">
        <v>678</v>
      </c>
      <c r="E2" s="381"/>
      <c r="Q2" s="20" t="s">
        <v>407</v>
      </c>
    </row>
    <row r="3" spans="1:17" ht="25.5" x14ac:dyDescent="0.25">
      <c r="A3" s="21" t="s">
        <v>105</v>
      </c>
      <c r="B3" s="29" t="s">
        <v>679</v>
      </c>
      <c r="C3" s="29" t="s">
        <v>680</v>
      </c>
      <c r="D3" s="29" t="s">
        <v>681</v>
      </c>
      <c r="E3" s="29" t="s">
        <v>682</v>
      </c>
      <c r="Q3" s="20" t="s">
        <v>408</v>
      </c>
    </row>
    <row r="4" spans="1:17" ht="25.5" x14ac:dyDescent="0.25">
      <c r="A4" s="21" t="s">
        <v>125</v>
      </c>
      <c r="B4" s="30" t="s">
        <v>126</v>
      </c>
      <c r="C4" s="30" t="s">
        <v>419</v>
      </c>
      <c r="D4" s="30" t="s">
        <v>417</v>
      </c>
      <c r="E4" s="30" t="s">
        <v>418</v>
      </c>
    </row>
    <row r="5" spans="1:17" ht="51" x14ac:dyDescent="0.25">
      <c r="A5" s="28" t="s">
        <v>150</v>
      </c>
      <c r="B5" s="67" t="s">
        <v>171</v>
      </c>
      <c r="C5" s="31" t="s">
        <v>584</v>
      </c>
      <c r="D5" s="31" t="s">
        <v>683</v>
      </c>
      <c r="E5" s="31" t="s">
        <v>683</v>
      </c>
    </row>
    <row r="6" spans="1:17" s="23" customFormat="1" ht="11.25" hidden="1" x14ac:dyDescent="0.2">
      <c r="A6" s="22" t="s">
        <v>1001</v>
      </c>
      <c r="B6" s="76"/>
      <c r="C6" s="81"/>
      <c r="D6" s="81"/>
      <c r="E6" s="81"/>
    </row>
    <row r="7" spans="1:17" s="23" customFormat="1" ht="11.25" x14ac:dyDescent="0.2">
      <c r="A7" s="22" t="s">
        <v>145</v>
      </c>
      <c r="B7" s="87" t="s">
        <v>1011</v>
      </c>
      <c r="C7" s="88" t="s">
        <v>334</v>
      </c>
      <c r="D7" s="88" t="s">
        <v>684</v>
      </c>
      <c r="E7" s="88" t="s">
        <v>685</v>
      </c>
    </row>
    <row r="8" spans="1:17" s="23" customFormat="1" ht="11.25" x14ac:dyDescent="0.2">
      <c r="A8" s="22" t="s">
        <v>145</v>
      </c>
      <c r="B8" s="87" t="s">
        <v>1012</v>
      </c>
      <c r="C8" s="88" t="s">
        <v>334</v>
      </c>
      <c r="D8" s="88" t="s">
        <v>684</v>
      </c>
      <c r="E8" s="88" t="s">
        <v>685</v>
      </c>
    </row>
  </sheetData>
  <mergeCells count="1">
    <mergeCell ref="D2:E2"/>
  </mergeCells>
  <conditionalFormatting sqref="A6">
    <cfRule type="containsText" dxfId="59" priority="12" operator="containsText" text="ADD">
      <formula>NOT(ISERROR(SEARCH("ADD",A6)))</formula>
    </cfRule>
  </conditionalFormatting>
  <conditionalFormatting sqref="A6">
    <cfRule type="containsText" dxfId="58" priority="9" operator="containsText" text="DELETE">
      <formula>NOT(ISERROR(SEARCH("DELETE",A6)))</formula>
    </cfRule>
    <cfRule type="containsText" dxfId="57" priority="10" operator="containsText" text="MODIFY">
      <formula>NOT(ISERROR(SEARCH("MODIFY",A6)))</formula>
    </cfRule>
    <cfRule type="containsText" dxfId="56" priority="11" operator="containsText" text="No ACTION">
      <formula>NOT(ISERROR(SEARCH("No ACTION",A6)))</formula>
    </cfRule>
  </conditionalFormatting>
  <conditionalFormatting sqref="A7">
    <cfRule type="containsText" dxfId="55" priority="8" operator="containsText" text="ADD">
      <formula>NOT(ISERROR(SEARCH("ADD",A7)))</formula>
    </cfRule>
  </conditionalFormatting>
  <conditionalFormatting sqref="A7">
    <cfRule type="containsText" dxfId="54" priority="5" operator="containsText" text="DELETE">
      <formula>NOT(ISERROR(SEARCH("DELETE",A7)))</formula>
    </cfRule>
    <cfRule type="containsText" dxfId="53" priority="6" operator="containsText" text="MODIFY">
      <formula>NOT(ISERROR(SEARCH("MODIFY",A7)))</formula>
    </cfRule>
    <cfRule type="containsText" dxfId="52" priority="7" operator="containsText" text="No ACTION">
      <formula>NOT(ISERROR(SEARCH("No ACTION",A7)))</formula>
    </cfRule>
  </conditionalFormatting>
  <conditionalFormatting sqref="A8">
    <cfRule type="containsText" dxfId="51" priority="4" operator="containsText" text="ADD">
      <formula>NOT(ISERROR(SEARCH("ADD",A8)))</formula>
    </cfRule>
  </conditionalFormatting>
  <conditionalFormatting sqref="A8">
    <cfRule type="containsText" dxfId="50" priority="1" operator="containsText" text="DELETE">
      <formula>NOT(ISERROR(SEARCH("DELETE",A8)))</formula>
    </cfRule>
    <cfRule type="containsText" dxfId="49" priority="2" operator="containsText" text="MODIFY">
      <formula>NOT(ISERROR(SEARCH("MODIFY",A8)))</formula>
    </cfRule>
    <cfRule type="containsText" dxfId="48" priority="3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list" allowBlank="1" showInputMessage="1" showErrorMessage="1" errorTitle="Blank" error="Must be 'ns'" sqref="C6:C8">
      <formula1>"ns,replace,conditionalReplace,conditionalSuppress"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U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36.5703125" style="20" customWidth="1"/>
    <col min="4" max="4" width="38.5703125" style="20" customWidth="1"/>
    <col min="5" max="9" width="23.85546875" style="20"/>
    <col min="10" max="10" width="16.5703125" style="20" customWidth="1"/>
    <col min="11" max="12" width="31.5703125" style="20" customWidth="1"/>
    <col min="13" max="13" width="20.140625" style="20" customWidth="1"/>
    <col min="14" max="14" width="19.42578125" style="20" customWidth="1"/>
    <col min="15" max="16384" width="23.85546875" style="20"/>
  </cols>
  <sheetData>
    <row r="1" spans="1:21" ht="18.75" x14ac:dyDescent="0.25">
      <c r="A1" s="19" t="s">
        <v>9</v>
      </c>
    </row>
    <row r="2" spans="1:21" ht="25.5" x14ac:dyDescent="0.25">
      <c r="B2" s="21" t="s">
        <v>104</v>
      </c>
      <c r="C2" s="32" t="s">
        <v>37</v>
      </c>
      <c r="U2" s="20" t="s">
        <v>407</v>
      </c>
    </row>
    <row r="3" spans="1:21" ht="25.5" x14ac:dyDescent="0.25">
      <c r="A3" s="21" t="s">
        <v>105</v>
      </c>
      <c r="B3" s="29" t="s">
        <v>189</v>
      </c>
      <c r="C3" s="29" t="s">
        <v>686</v>
      </c>
      <c r="D3" s="29" t="s">
        <v>687</v>
      </c>
      <c r="U3" s="20" t="s">
        <v>408</v>
      </c>
    </row>
    <row r="4" spans="1:21" ht="25.5" x14ac:dyDescent="0.25">
      <c r="A4" s="21" t="s">
        <v>125</v>
      </c>
      <c r="B4" s="30" t="s">
        <v>126</v>
      </c>
      <c r="C4" s="30" t="s">
        <v>497</v>
      </c>
      <c r="D4" s="30" t="s">
        <v>688</v>
      </c>
    </row>
    <row r="5" spans="1:21" ht="51" x14ac:dyDescent="0.25">
      <c r="A5" s="28" t="s">
        <v>150</v>
      </c>
      <c r="B5" s="67" t="s">
        <v>171</v>
      </c>
      <c r="C5" s="31" t="s">
        <v>689</v>
      </c>
      <c r="D5" s="31" t="s">
        <v>690</v>
      </c>
    </row>
    <row r="6" spans="1:21" s="23" customFormat="1" ht="11.25" hidden="1" x14ac:dyDescent="0.2">
      <c r="A6" s="22" t="s">
        <v>1001</v>
      </c>
      <c r="B6" s="76"/>
      <c r="C6" s="81"/>
      <c r="D6" s="81"/>
    </row>
    <row r="7" spans="1:21" s="23" customFormat="1" ht="11.25" x14ac:dyDescent="0.2">
      <c r="A7" s="22" t="s">
        <v>145</v>
      </c>
      <c r="B7" s="87" t="s">
        <v>1011</v>
      </c>
      <c r="C7" s="25"/>
      <c r="D7" s="25"/>
    </row>
    <row r="8" spans="1:21" s="23" customFormat="1" ht="11.25" x14ac:dyDescent="0.2">
      <c r="A8" s="22" t="s">
        <v>145</v>
      </c>
      <c r="B8" s="87" t="s">
        <v>1012</v>
      </c>
      <c r="C8" s="25"/>
      <c r="D8" s="25"/>
    </row>
  </sheetData>
  <conditionalFormatting sqref="A8">
    <cfRule type="containsText" dxfId="47" priority="8" operator="containsText" text="ADD">
      <formula>NOT(ISERROR(SEARCH("ADD",A8)))</formula>
    </cfRule>
  </conditionalFormatting>
  <conditionalFormatting sqref="A8">
    <cfRule type="containsText" dxfId="46" priority="5" operator="containsText" text="DELETE">
      <formula>NOT(ISERROR(SEARCH("DELETE",A8)))</formula>
    </cfRule>
    <cfRule type="containsText" dxfId="45" priority="6" operator="containsText" text="MODIFY">
      <formula>NOT(ISERROR(SEARCH("MODIFY",A8)))</formula>
    </cfRule>
    <cfRule type="containsText" dxfId="44" priority="7" operator="containsText" text="No ACTION">
      <formula>NOT(ISERROR(SEARCH("No ACTION",A8)))</formula>
    </cfRule>
  </conditionalFormatting>
  <conditionalFormatting sqref="A6:A7">
    <cfRule type="containsText" dxfId="43" priority="4" operator="containsText" text="ADD">
      <formula>NOT(ISERROR(SEARCH("ADD",A6)))</formula>
    </cfRule>
  </conditionalFormatting>
  <conditionalFormatting sqref="A6:A7">
    <cfRule type="containsText" dxfId="42" priority="1" operator="containsText" text="DELETE">
      <formula>NOT(ISERROR(SEARCH("DELETE",A6)))</formula>
    </cfRule>
    <cfRule type="containsText" dxfId="41" priority="2" operator="containsText" text="MODIFY">
      <formula>NOT(ISERROR(SEARCH("MODIFY",A6)))</formula>
    </cfRule>
    <cfRule type="containsText" dxfId="40" priority="3" operator="containsText" text="No ACTION">
      <formula>NOT(ISERROR(SEARCH("No ACTION",A6)))</formula>
    </cfRule>
  </conditionalFormatting>
  <dataValidations count="3">
    <dataValidation type="list" allowBlank="1" showInputMessage="1" showErrorMessage="1" sqref="C6:C8">
      <formula1>"PDP,RC,ExtRC"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6"/>
  <sheetViews>
    <sheetView workbookViewId="0">
      <selection activeCell="A5" sqref="A5:XFD5"/>
    </sheetView>
  </sheetViews>
  <sheetFormatPr defaultColWidth="23.85546875" defaultRowHeight="15" x14ac:dyDescent="0.25"/>
  <cols>
    <col min="1" max="1" width="13.5703125" style="20" customWidth="1"/>
    <col min="2" max="2" width="10.5703125" style="20" customWidth="1"/>
    <col min="3" max="3" width="27.42578125" style="20" bestFit="1" customWidth="1"/>
    <col min="4" max="4" width="13.7109375" style="20" bestFit="1" customWidth="1"/>
    <col min="5" max="5" width="17.140625" style="20" bestFit="1" customWidth="1"/>
    <col min="6" max="6" width="24.28515625" style="20" customWidth="1"/>
    <col min="7" max="7" width="26.140625" style="20" customWidth="1"/>
    <col min="8" max="8" width="13" style="20" bestFit="1" customWidth="1"/>
    <col min="9" max="13" width="23.85546875" style="20"/>
    <col min="14" max="14" width="16.5703125" style="20" customWidth="1"/>
    <col min="15" max="16" width="31.5703125" style="20" customWidth="1"/>
    <col min="17" max="17" width="20.140625" style="20" customWidth="1"/>
    <col min="18" max="18" width="19.42578125" style="20" customWidth="1"/>
    <col min="19" max="16384" width="23.85546875" style="20"/>
  </cols>
  <sheetData>
    <row r="1" spans="1:25" ht="18.75" x14ac:dyDescent="0.25">
      <c r="A1" s="19" t="s">
        <v>9</v>
      </c>
    </row>
    <row r="2" spans="1:25" ht="25.5" x14ac:dyDescent="0.25">
      <c r="B2" s="21" t="s">
        <v>104</v>
      </c>
      <c r="C2" s="32" t="s">
        <v>589</v>
      </c>
      <c r="D2" s="21" t="s">
        <v>1142</v>
      </c>
      <c r="E2" s="32">
        <v>4</v>
      </c>
      <c r="F2" s="21" t="s">
        <v>1141</v>
      </c>
      <c r="G2" s="32">
        <v>5</v>
      </c>
      <c r="H2" s="21" t="s">
        <v>1140</v>
      </c>
      <c r="I2" s="32">
        <v>7</v>
      </c>
      <c r="Y2" s="20" t="s">
        <v>407</v>
      </c>
    </row>
    <row r="3" spans="1:25" ht="25.5" x14ac:dyDescent="0.25">
      <c r="A3" s="21" t="s">
        <v>105</v>
      </c>
      <c r="B3" s="29" t="s">
        <v>691</v>
      </c>
      <c r="C3" s="29" t="s">
        <v>692</v>
      </c>
      <c r="D3" s="29" t="s">
        <v>693</v>
      </c>
      <c r="E3" s="29" t="s">
        <v>694</v>
      </c>
      <c r="F3" s="29" t="s">
        <v>695</v>
      </c>
      <c r="G3" s="29" t="s">
        <v>696</v>
      </c>
      <c r="H3" s="29" t="s">
        <v>697</v>
      </c>
      <c r="Y3" s="20" t="s">
        <v>408</v>
      </c>
    </row>
    <row r="4" spans="1:25" ht="25.5" x14ac:dyDescent="0.25">
      <c r="A4" s="21" t="s">
        <v>125</v>
      </c>
      <c r="B4" s="30" t="s">
        <v>126</v>
      </c>
      <c r="C4" s="30" t="s">
        <v>497</v>
      </c>
      <c r="D4" s="30" t="s">
        <v>698</v>
      </c>
      <c r="E4" s="30" t="s">
        <v>699</v>
      </c>
      <c r="F4" s="30" t="s">
        <v>700</v>
      </c>
      <c r="G4" s="30" t="s">
        <v>701</v>
      </c>
      <c r="H4" s="30" t="s">
        <v>702</v>
      </c>
    </row>
    <row r="5" spans="1:25" ht="102" hidden="1" x14ac:dyDescent="0.25">
      <c r="A5" s="28" t="s">
        <v>1152</v>
      </c>
      <c r="B5" s="67" t="s">
        <v>171</v>
      </c>
      <c r="C5" s="31" t="s">
        <v>1357</v>
      </c>
      <c r="D5" s="31" t="s">
        <v>1358</v>
      </c>
      <c r="E5" s="31" t="s">
        <v>1359</v>
      </c>
      <c r="F5" s="31" t="s">
        <v>1360</v>
      </c>
      <c r="G5" s="31" t="s">
        <v>1361</v>
      </c>
      <c r="H5" s="31" t="s">
        <v>1362</v>
      </c>
    </row>
    <row r="6" spans="1:25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</row>
  </sheetData>
  <conditionalFormatting sqref="A6">
    <cfRule type="containsText" dxfId="39" priority="4" operator="containsText" text="ADD">
      <formula>NOT(ISERROR(SEARCH("ADD",A6)))</formula>
    </cfRule>
  </conditionalFormatting>
  <conditionalFormatting sqref="A6">
    <cfRule type="containsText" dxfId="38" priority="1" operator="containsText" text="DELETE">
      <formula>NOT(ISERROR(SEARCH("DELETE",A6)))</formula>
    </cfRule>
    <cfRule type="containsText" dxfId="37" priority="2" operator="containsText" text="MODIFY">
      <formula>NOT(ISERROR(SEARCH("MODIFY",A6)))</formula>
    </cfRule>
    <cfRule type="containsText" dxfId="36" priority="3" operator="containsText" text="No ACTION">
      <formula>NOT(ISERROR(SEARCH("No ACTION",A6)))</formula>
    </cfRule>
  </conditionalFormatting>
  <dataValidations count="7">
    <dataValidation type="list" allowBlank="1" showInputMessage="1" showErrorMessage="1" sqref="H6">
      <formula1>"5"</formula1>
    </dataValidation>
    <dataValidation type="list" allowBlank="1" showInputMessage="1" showErrorMessage="1" sqref="C6">
      <formula1>"1,2,3,4"</formula1>
    </dataValidation>
    <dataValidation type="list" allowBlank="1" showInputMessage="1" showErrorMessage="1" sqref="E6">
      <formula1>"HPLMN,ALLPLMN"</formula1>
    </dataValidation>
    <dataValidation type="list" showInputMessage="1" showErrorMessage="1" sqref="A6">
      <formula1>"ADD,MODIFY,DELETE,NO ACTION"</formula1>
    </dataValidation>
    <dataValidation type="textLength" allowBlank="1" showInputMessage="1" showErrorMessage="1" error="String:_x000a_1..10 characters" sqref="B6">
      <formula1>0</formula1>
      <formula2>10</formula2>
    </dataValidation>
    <dataValidation type="whole" allowBlank="1" showInputMessage="1" showErrorMessage="1" error="Int (0..15)" sqref="F6">
      <formula1>0</formula1>
      <formula2>15</formula2>
    </dataValidation>
    <dataValidation type="whole" allowBlank="1" showInputMessage="1" showErrorMessage="1" error="int (0..4095)" sqref="G6">
      <formula1>0</formula1>
      <formula2>4095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W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3.7109375" style="20" customWidth="1"/>
    <col min="3" max="3" width="22.42578125" style="20" bestFit="1" customWidth="1"/>
    <col min="4" max="4" width="19.5703125" style="20" bestFit="1" customWidth="1"/>
    <col min="5" max="5" width="16.140625" style="20" bestFit="1" customWidth="1"/>
    <col min="6" max="6" width="17.42578125" style="20" bestFit="1" customWidth="1"/>
    <col min="7" max="7" width="17.85546875" style="20" bestFit="1" customWidth="1"/>
    <col min="8" max="8" width="15.140625" style="20" bestFit="1" customWidth="1"/>
    <col min="9" max="9" width="17.7109375" style="20" bestFit="1" customWidth="1"/>
    <col min="10" max="11" width="23.85546875" style="20"/>
    <col min="12" max="12" width="16.5703125" style="20" customWidth="1"/>
    <col min="13" max="14" width="31.5703125" style="20" customWidth="1"/>
    <col min="15" max="15" width="20.140625" style="20" customWidth="1"/>
    <col min="16" max="16" width="19.42578125" style="20" customWidth="1"/>
    <col min="17" max="16384" width="23.85546875" style="20"/>
  </cols>
  <sheetData>
    <row r="1" spans="1:23" ht="18.75" x14ac:dyDescent="0.25">
      <c r="A1" s="19" t="s">
        <v>9</v>
      </c>
    </row>
    <row r="2" spans="1:23" x14ac:dyDescent="0.25">
      <c r="B2" s="21" t="s">
        <v>104</v>
      </c>
      <c r="C2" s="32" t="s">
        <v>102</v>
      </c>
      <c r="W2" s="20" t="s">
        <v>407</v>
      </c>
    </row>
    <row r="3" spans="1:23" ht="36.75" x14ac:dyDescent="0.25">
      <c r="A3" s="21" t="s">
        <v>105</v>
      </c>
      <c r="B3" s="29" t="s">
        <v>703</v>
      </c>
      <c r="C3" s="29" t="s">
        <v>704</v>
      </c>
      <c r="D3" s="29" t="s">
        <v>705</v>
      </c>
      <c r="E3" s="29" t="s">
        <v>706</v>
      </c>
      <c r="F3" s="29" t="s">
        <v>707</v>
      </c>
      <c r="G3" s="29" t="s">
        <v>708</v>
      </c>
      <c r="H3" s="29" t="s">
        <v>709</v>
      </c>
      <c r="I3" s="29" t="s">
        <v>710</v>
      </c>
      <c r="J3" s="29" t="s">
        <v>711</v>
      </c>
      <c r="K3" s="29" t="s">
        <v>712</v>
      </c>
      <c r="L3" s="29" t="s">
        <v>713</v>
      </c>
      <c r="W3" s="20" t="s">
        <v>408</v>
      </c>
    </row>
    <row r="4" spans="1:23" ht="25.5" x14ac:dyDescent="0.25">
      <c r="A4" s="21" t="s">
        <v>125</v>
      </c>
      <c r="B4" s="30" t="s">
        <v>126</v>
      </c>
      <c r="C4" s="30" t="s">
        <v>714</v>
      </c>
      <c r="D4" s="30" t="s">
        <v>715</v>
      </c>
      <c r="E4" s="30" t="s">
        <v>714</v>
      </c>
      <c r="F4" s="30" t="s">
        <v>715</v>
      </c>
      <c r="G4" s="30" t="s">
        <v>714</v>
      </c>
      <c r="H4" s="30" t="s">
        <v>715</v>
      </c>
      <c r="I4" s="30" t="s">
        <v>716</v>
      </c>
      <c r="J4" s="30" t="s">
        <v>715</v>
      </c>
      <c r="K4" s="30" t="s">
        <v>717</v>
      </c>
      <c r="L4" s="30" t="s">
        <v>718</v>
      </c>
    </row>
    <row r="5" spans="1:23" ht="63.75" x14ac:dyDescent="0.25">
      <c r="A5" s="28" t="s">
        <v>150</v>
      </c>
      <c r="B5" s="67" t="s">
        <v>171</v>
      </c>
      <c r="C5" s="31" t="s">
        <v>1013</v>
      </c>
      <c r="D5" s="31" t="s">
        <v>719</v>
      </c>
      <c r="E5" s="68" t="s">
        <v>1013</v>
      </c>
      <c r="F5" s="31" t="s">
        <v>719</v>
      </c>
      <c r="G5" s="68" t="s">
        <v>1013</v>
      </c>
      <c r="H5" s="31" t="s">
        <v>719</v>
      </c>
      <c r="I5" s="31" t="s">
        <v>1014</v>
      </c>
      <c r="J5" s="31" t="s">
        <v>719</v>
      </c>
      <c r="K5" s="68" t="s">
        <v>1014</v>
      </c>
      <c r="L5" s="31" t="s">
        <v>720</v>
      </c>
    </row>
    <row r="6" spans="1:23" s="23" customFormat="1" ht="11.25" hidden="1" x14ac:dyDescent="0.2">
      <c r="A6" s="22" t="s">
        <v>1001</v>
      </c>
      <c r="B6" s="76"/>
      <c r="C6" s="81"/>
      <c r="D6" s="81"/>
      <c r="E6" s="81"/>
      <c r="F6" s="81"/>
      <c r="G6" s="81"/>
      <c r="H6" s="81"/>
      <c r="I6" s="81"/>
      <c r="J6" s="81"/>
      <c r="K6" s="81"/>
      <c r="L6" s="81"/>
    </row>
    <row r="7" spans="1:23" s="23" customFormat="1" ht="11.25" x14ac:dyDescent="0.2">
      <c r="A7" s="22" t="s">
        <v>145</v>
      </c>
      <c r="B7" s="87" t="s">
        <v>1011</v>
      </c>
      <c r="C7" s="25"/>
      <c r="D7" s="25"/>
      <c r="E7" s="66"/>
      <c r="F7" s="25"/>
      <c r="G7" s="66"/>
      <c r="H7" s="25"/>
      <c r="I7" s="25"/>
      <c r="J7" s="25"/>
      <c r="K7" s="66"/>
      <c r="L7" s="25"/>
    </row>
    <row r="8" spans="1:23" s="23" customFormat="1" ht="11.25" x14ac:dyDescent="0.2">
      <c r="A8" s="22" t="s">
        <v>145</v>
      </c>
      <c r="B8" s="87" t="s">
        <v>1012</v>
      </c>
      <c r="C8" s="25"/>
      <c r="D8" s="25"/>
      <c r="E8" s="66"/>
      <c r="F8" s="25"/>
      <c r="G8" s="66"/>
      <c r="H8" s="25"/>
      <c r="I8" s="25"/>
      <c r="J8" s="25"/>
      <c r="K8" s="66"/>
      <c r="L8" s="25"/>
    </row>
  </sheetData>
  <conditionalFormatting sqref="A8">
    <cfRule type="containsText" dxfId="35" priority="8" operator="containsText" text="ADD">
      <formula>NOT(ISERROR(SEARCH("ADD",A8)))</formula>
    </cfRule>
  </conditionalFormatting>
  <conditionalFormatting sqref="A8">
    <cfRule type="containsText" dxfId="34" priority="5" operator="containsText" text="DELETE">
      <formula>NOT(ISERROR(SEARCH("DELETE",A8)))</formula>
    </cfRule>
    <cfRule type="containsText" dxfId="33" priority="6" operator="containsText" text="MODIFY">
      <formula>NOT(ISERROR(SEARCH("MODIFY",A8)))</formula>
    </cfRule>
    <cfRule type="containsText" dxfId="32" priority="7" operator="containsText" text="No ACTION">
      <formula>NOT(ISERROR(SEARCH("No ACTION",A8)))</formula>
    </cfRule>
  </conditionalFormatting>
  <conditionalFormatting sqref="A6:A7">
    <cfRule type="containsText" dxfId="31" priority="4" operator="containsText" text="ADD">
      <formula>NOT(ISERROR(SEARCH("ADD",A6)))</formula>
    </cfRule>
  </conditionalFormatting>
  <conditionalFormatting sqref="A6:A7">
    <cfRule type="containsText" dxfId="30" priority="1" operator="containsText" text="DELETE">
      <formula>NOT(ISERROR(SEARCH("DELETE",A6)))</formula>
    </cfRule>
    <cfRule type="containsText" dxfId="29" priority="2" operator="containsText" text="MODIFY">
      <formula>NOT(ISERROR(SEARCH("MODIFY",A6)))</formula>
    </cfRule>
    <cfRule type="containsText" dxfId="28" priority="3" operator="containsText" text="No ACTION">
      <formula>NOT(ISERROR(SEARCH("No ACTION",A6)))</formula>
    </cfRule>
  </conditionalFormatting>
  <dataValidations count="7">
    <dataValidation type="list" showInputMessage="1" showErrorMessage="1" sqref="L6:L8">
      <formula1>"Report,Reject,ReportAndReject,NESpecificAction"</formula1>
    </dataValidation>
    <dataValidation type="list" showInputMessage="1" showErrorMessage="1" sqref="F6:F8 H6:H8 J6:J8 D6:D8">
      <formula1>"Report,Reject,ReportAndReject"</formula1>
    </dataValidation>
    <dataValidation type="list" allowBlank="1" showInputMessage="1" showErrorMessage="1" sqref="E9:E17">
      <formula1>$W$2:$W$3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G6:G8 C6:C8 E6:E8">
      <formula1>0</formula1>
      <formula2>64800</formula2>
    </dataValidation>
    <dataValidation type="whole" allowBlank="1" showInputMessage="1" showErrorMessage="1" error="Valid range for this integer_x000a_parameter is between 0 and 254" sqref="K6:K8 I6:I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F9"/>
  <sheetViews>
    <sheetView workbookViewId="0"/>
  </sheetViews>
  <sheetFormatPr defaultColWidth="23.85546875" defaultRowHeight="15" x14ac:dyDescent="0.25"/>
  <cols>
    <col min="1" max="1" width="13.5703125" style="20" customWidth="1"/>
    <col min="2" max="2" width="13.7109375" style="20" customWidth="1"/>
    <col min="3" max="3" width="36.5703125" style="20" customWidth="1"/>
    <col min="4" max="4" width="27.42578125" style="20" customWidth="1"/>
    <col min="5" max="5" width="17.7109375" style="20" customWidth="1"/>
    <col min="6" max="6" width="24.85546875" style="20" customWidth="1"/>
    <col min="7" max="16384" width="23.85546875" style="20"/>
  </cols>
  <sheetData>
    <row r="1" spans="1:6" ht="18.75" x14ac:dyDescent="0.25">
      <c r="A1" s="19" t="s">
        <v>9</v>
      </c>
    </row>
    <row r="2" spans="1:6" x14ac:dyDescent="0.25">
      <c r="B2" s="21" t="s">
        <v>104</v>
      </c>
      <c r="C2" s="32" t="s">
        <v>721</v>
      </c>
    </row>
    <row r="3" spans="1:6" ht="25.5" x14ac:dyDescent="0.25">
      <c r="A3" s="21" t="s">
        <v>105</v>
      </c>
      <c r="B3" s="29" t="s">
        <v>703</v>
      </c>
      <c r="C3" s="29" t="s">
        <v>722</v>
      </c>
      <c r="D3" s="29" t="s">
        <v>723</v>
      </c>
      <c r="E3" s="29" t="s">
        <v>724</v>
      </c>
      <c r="F3" s="29" t="s">
        <v>725</v>
      </c>
    </row>
    <row r="4" spans="1:6" ht="25.5" x14ac:dyDescent="0.25">
      <c r="A4" s="21" t="s">
        <v>125</v>
      </c>
      <c r="B4" s="30" t="s">
        <v>126</v>
      </c>
      <c r="C4" s="30" t="s">
        <v>726</v>
      </c>
      <c r="D4" s="30" t="s">
        <v>727</v>
      </c>
      <c r="E4" s="30" t="s">
        <v>728</v>
      </c>
      <c r="F4" s="30" t="s">
        <v>729</v>
      </c>
    </row>
    <row r="5" spans="1:6" ht="51" x14ac:dyDescent="0.25">
      <c r="A5" s="28" t="s">
        <v>150</v>
      </c>
      <c r="B5" s="27" t="s">
        <v>730</v>
      </c>
      <c r="C5" s="31" t="s">
        <v>731</v>
      </c>
      <c r="D5" s="31" t="s">
        <v>719</v>
      </c>
      <c r="E5" s="68" t="s">
        <v>1014</v>
      </c>
      <c r="F5" s="68" t="s">
        <v>1014</v>
      </c>
    </row>
    <row r="6" spans="1:6" s="64" customFormat="1" hidden="1" x14ac:dyDescent="0.25">
      <c r="A6" s="75" t="s">
        <v>1001</v>
      </c>
      <c r="B6" s="76"/>
      <c r="C6" s="81"/>
      <c r="D6" s="81"/>
      <c r="E6" s="81"/>
      <c r="F6" s="81"/>
    </row>
    <row r="7" spans="1:6" s="23" customFormat="1" ht="11.25" x14ac:dyDescent="0.2">
      <c r="A7" s="22" t="s">
        <v>145</v>
      </c>
      <c r="B7" s="87" t="s">
        <v>732</v>
      </c>
      <c r="C7" s="25"/>
      <c r="D7" s="25"/>
      <c r="E7" s="88">
        <v>32</v>
      </c>
      <c r="F7" s="88">
        <v>32</v>
      </c>
    </row>
    <row r="8" spans="1:6" s="23" customFormat="1" ht="11.25" x14ac:dyDescent="0.2">
      <c r="A8" s="22" t="s">
        <v>145</v>
      </c>
      <c r="B8" s="87" t="s">
        <v>1004</v>
      </c>
      <c r="C8" s="25"/>
      <c r="D8" s="25"/>
      <c r="E8" s="66"/>
      <c r="F8" s="66"/>
    </row>
    <row r="9" spans="1:6" x14ac:dyDescent="0.25">
      <c r="E9" s="64"/>
      <c r="F9" s="64"/>
    </row>
  </sheetData>
  <conditionalFormatting sqref="A7">
    <cfRule type="containsText" dxfId="27" priority="12" operator="containsText" text="ADD">
      <formula>NOT(ISERROR(SEARCH("ADD",A7)))</formula>
    </cfRule>
  </conditionalFormatting>
  <conditionalFormatting sqref="A7">
    <cfRule type="containsText" dxfId="26" priority="9" operator="containsText" text="DELETE">
      <formula>NOT(ISERROR(SEARCH("DELETE",A7)))</formula>
    </cfRule>
    <cfRule type="containsText" dxfId="25" priority="10" operator="containsText" text="MODIFY">
      <formula>NOT(ISERROR(SEARCH("MODIFY",A7)))</formula>
    </cfRule>
    <cfRule type="containsText" dxfId="24" priority="11" operator="containsText" text="No ACTION">
      <formula>NOT(ISERROR(SEARCH("No ACTION",A7)))</formula>
    </cfRule>
  </conditionalFormatting>
  <conditionalFormatting sqref="A8">
    <cfRule type="containsText" dxfId="23" priority="8" operator="containsText" text="ADD">
      <formula>NOT(ISERROR(SEARCH("ADD",A8)))</formula>
    </cfRule>
  </conditionalFormatting>
  <conditionalFormatting sqref="A8">
    <cfRule type="containsText" dxfId="22" priority="5" operator="containsText" text="DELETE">
      <formula>NOT(ISERROR(SEARCH("DELETE",A8)))</formula>
    </cfRule>
    <cfRule type="containsText" dxfId="21" priority="6" operator="containsText" text="MODIFY">
      <formula>NOT(ISERROR(SEARCH("MODIFY",A8)))</formula>
    </cfRule>
    <cfRule type="containsText" dxfId="20" priority="7" operator="containsText" text="No ACTION">
      <formula>NOT(ISERROR(SEARCH("No ACTION",A8)))</formula>
    </cfRule>
  </conditionalFormatting>
  <conditionalFormatting sqref="A6">
    <cfRule type="containsText" dxfId="19" priority="4" operator="containsText" text="ADD">
      <formula>NOT(ISERROR(SEARCH("ADD",A6)))</formula>
    </cfRule>
  </conditionalFormatting>
  <conditionalFormatting sqref="A6">
    <cfRule type="containsText" dxfId="18" priority="1" operator="containsText" text="DELETE">
      <formula>NOT(ISERROR(SEARCH("DELETE",A6)))</formula>
    </cfRule>
    <cfRule type="containsText" dxfId="17" priority="2" operator="containsText" text="MODIFY">
      <formula>NOT(ISERROR(SEARCH("MODIFY",A6)))</formula>
    </cfRule>
    <cfRule type="containsText" dxfId="16" priority="3" operator="containsText" text="No ACTION">
      <formula>NOT(ISERROR(SEARCH("No ACTION",A6)))</formula>
    </cfRule>
  </conditionalFormatting>
  <dataValidations count="5">
    <dataValidation type="list" allowBlank="1" showInputMessage="1" showErrorMessage="1" sqref="B6:B8">
      <formula1>"cfReg,simObs"</formula1>
    </dataValidation>
    <dataValidation type="list" allowBlank="1" showInputMessage="1" showErrorMessage="1" sqref="C6:C8">
      <formula1>"Start,Stop"</formula1>
    </dataValidation>
    <dataValidation type="list" showInputMessage="1" showErrorMessage="1" sqref="A6:A8">
      <formula1>"ADD,MODIFY,DELETE,NO ACTION"</formula1>
    </dataValidation>
    <dataValidation type="list" showInputMessage="1" showErrorMessage="1" sqref="D6:D8">
      <formula1>"Report,Reject,ReportAndReject"</formula1>
    </dataValidation>
    <dataValidation type="whole" allowBlank="1" showInputMessage="1" showErrorMessage="1" error="Valid range for this integer_x000a_parameter is between 0 and 254" sqref="E6:F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S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2.5703125" style="20" customWidth="1"/>
    <col min="3" max="3" width="36.5703125" style="20" customWidth="1"/>
    <col min="4" max="7" width="23.85546875" style="20"/>
    <col min="8" max="8" width="16.5703125" style="20" customWidth="1"/>
    <col min="9" max="10" width="31.5703125" style="20" customWidth="1"/>
    <col min="11" max="11" width="20.140625" style="20" customWidth="1"/>
    <col min="12" max="12" width="19.42578125" style="20" customWidth="1"/>
    <col min="13" max="16384" width="23.85546875" style="20"/>
  </cols>
  <sheetData>
    <row r="1" spans="1:19" ht="18.75" x14ac:dyDescent="0.25">
      <c r="A1" s="19" t="s">
        <v>9</v>
      </c>
    </row>
    <row r="2" spans="1:19" x14ac:dyDescent="0.25">
      <c r="B2" s="21" t="s">
        <v>104</v>
      </c>
      <c r="C2" s="32" t="s">
        <v>38</v>
      </c>
      <c r="S2" s="20" t="s">
        <v>407</v>
      </c>
    </row>
    <row r="3" spans="1:19" ht="25.5" x14ac:dyDescent="0.25">
      <c r="A3" s="21" t="s">
        <v>105</v>
      </c>
      <c r="B3" s="29" t="s">
        <v>733</v>
      </c>
      <c r="C3" s="29" t="s">
        <v>734</v>
      </c>
      <c r="S3" s="20" t="s">
        <v>408</v>
      </c>
    </row>
    <row r="4" spans="1:19" ht="25.5" x14ac:dyDescent="0.25">
      <c r="A4" s="21" t="s">
        <v>125</v>
      </c>
      <c r="B4" s="30" t="s">
        <v>126</v>
      </c>
      <c r="C4" s="30" t="s">
        <v>735</v>
      </c>
    </row>
    <row r="5" spans="1:19" ht="36.75" x14ac:dyDescent="0.25">
      <c r="A5" s="28" t="s">
        <v>150</v>
      </c>
      <c r="B5" s="67" t="s">
        <v>171</v>
      </c>
      <c r="C5" s="68" t="s">
        <v>937</v>
      </c>
    </row>
    <row r="6" spans="1:19" s="23" customFormat="1" ht="11.25" hidden="1" x14ac:dyDescent="0.2">
      <c r="A6" s="22" t="s">
        <v>1001</v>
      </c>
      <c r="B6" s="76"/>
      <c r="C6" s="81"/>
    </row>
    <row r="7" spans="1:19" s="23" customFormat="1" ht="11.25" x14ac:dyDescent="0.2">
      <c r="A7" s="22" t="s">
        <v>145</v>
      </c>
      <c r="B7" s="87" t="s">
        <v>1011</v>
      </c>
      <c r="C7" s="25"/>
    </row>
    <row r="8" spans="1:19" s="23" customFormat="1" ht="11.25" x14ac:dyDescent="0.2">
      <c r="A8" s="22" t="s">
        <v>145</v>
      </c>
      <c r="B8" s="87" t="s">
        <v>1012</v>
      </c>
      <c r="C8" s="25"/>
    </row>
  </sheetData>
  <conditionalFormatting sqref="A8">
    <cfRule type="containsText" dxfId="15" priority="8" operator="containsText" text="ADD">
      <formula>NOT(ISERROR(SEARCH("ADD",A8)))</formula>
    </cfRule>
  </conditionalFormatting>
  <conditionalFormatting sqref="A8">
    <cfRule type="containsText" dxfId="14" priority="5" operator="containsText" text="DELETE">
      <formula>NOT(ISERROR(SEARCH("DELETE",A8)))</formula>
    </cfRule>
    <cfRule type="containsText" dxfId="13" priority="6" operator="containsText" text="MODIFY">
      <formula>NOT(ISERROR(SEARCH("MODIFY",A8)))</formula>
    </cfRule>
    <cfRule type="containsText" dxfId="12" priority="7" operator="containsText" text="No ACTION">
      <formula>NOT(ISERROR(SEARCH("No ACTION",A8)))</formula>
    </cfRule>
  </conditionalFormatting>
  <conditionalFormatting sqref="A6:A7">
    <cfRule type="containsText" dxfId="11" priority="4" operator="containsText" text="ADD">
      <formula>NOT(ISERROR(SEARCH("ADD",A6)))</formula>
    </cfRule>
  </conditionalFormatting>
  <conditionalFormatting sqref="A6:A7">
    <cfRule type="containsText" dxfId="10" priority="1" operator="containsText" text="DELETE">
      <formula>NOT(ISERROR(SEARCH("DELETE",A6)))</formula>
    </cfRule>
    <cfRule type="containsText" dxfId="9" priority="2" operator="containsText" text="MODIFY">
      <formula>NOT(ISERROR(SEARCH("MODIFY",A6)))</formula>
    </cfRule>
    <cfRule type="containsText" dxfId="8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S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20" customWidth="1"/>
    <col min="2" max="2" width="15.5703125" style="20" customWidth="1"/>
    <col min="3" max="3" width="36.5703125" style="20" customWidth="1"/>
    <col min="4" max="7" width="23.85546875" style="20"/>
    <col min="8" max="8" width="16.5703125" style="20" customWidth="1"/>
    <col min="9" max="10" width="31.5703125" style="20" customWidth="1"/>
    <col min="11" max="11" width="20.140625" style="20" customWidth="1"/>
    <col min="12" max="12" width="19.42578125" style="20" customWidth="1"/>
    <col min="13" max="16384" width="23.85546875" style="20"/>
  </cols>
  <sheetData>
    <row r="1" spans="1:19" ht="18.75" x14ac:dyDescent="0.25">
      <c r="A1" s="19" t="s">
        <v>9</v>
      </c>
    </row>
    <row r="2" spans="1:19" x14ac:dyDescent="0.25">
      <c r="B2" s="21" t="s">
        <v>104</v>
      </c>
      <c r="C2" s="32" t="s">
        <v>39</v>
      </c>
      <c r="S2" s="20" t="s">
        <v>407</v>
      </c>
    </row>
    <row r="3" spans="1:19" ht="25.5" x14ac:dyDescent="0.25">
      <c r="A3" s="21" t="s">
        <v>105</v>
      </c>
      <c r="B3" s="29" t="s">
        <v>736</v>
      </c>
      <c r="C3" s="29" t="s">
        <v>737</v>
      </c>
      <c r="S3" s="20" t="s">
        <v>408</v>
      </c>
    </row>
    <row r="4" spans="1:19" ht="25.5" x14ac:dyDescent="0.25">
      <c r="A4" s="21" t="s">
        <v>125</v>
      </c>
      <c r="B4" s="30" t="s">
        <v>126</v>
      </c>
      <c r="C4" s="30" t="s">
        <v>738</v>
      </c>
    </row>
    <row r="5" spans="1:19" ht="24.75" x14ac:dyDescent="0.25">
      <c r="A5" s="28" t="s">
        <v>150</v>
      </c>
      <c r="B5" s="67" t="s">
        <v>171</v>
      </c>
      <c r="C5" s="31" t="s">
        <v>739</v>
      </c>
    </row>
    <row r="6" spans="1:19" s="23" customFormat="1" ht="11.25" hidden="1" x14ac:dyDescent="0.2">
      <c r="A6" s="22" t="s">
        <v>1001</v>
      </c>
      <c r="B6" s="76"/>
      <c r="C6" s="81"/>
    </row>
    <row r="7" spans="1:19" s="23" customFormat="1" ht="11.25" x14ac:dyDescent="0.2">
      <c r="A7" s="22" t="s">
        <v>145</v>
      </c>
      <c r="B7" s="87" t="s">
        <v>1011</v>
      </c>
      <c r="C7" s="25"/>
    </row>
    <row r="8" spans="1:19" s="23" customFormat="1" ht="11.25" x14ac:dyDescent="0.2">
      <c r="A8" s="22" t="s">
        <v>145</v>
      </c>
      <c r="B8" s="87" t="s">
        <v>1012</v>
      </c>
      <c r="C8" s="25"/>
    </row>
  </sheetData>
  <conditionalFormatting sqref="A8">
    <cfRule type="containsText" dxfId="7" priority="8" operator="containsText" text="ADD">
      <formula>NOT(ISERROR(SEARCH("ADD",A8)))</formula>
    </cfRule>
  </conditionalFormatting>
  <conditionalFormatting sqref="A8">
    <cfRule type="containsText" dxfId="6" priority="5" operator="containsText" text="DELETE">
      <formula>NOT(ISERROR(SEARCH("DELETE",A8)))</formula>
    </cfRule>
    <cfRule type="containsText" dxfId="5" priority="6" operator="containsText" text="MODIFY">
      <formula>NOT(ISERROR(SEARCH("MODIFY",A8)))</formula>
    </cfRule>
    <cfRule type="containsText" dxfId="4" priority="7" operator="containsText" text="No ACTION">
      <formula>NOT(ISERROR(SEARCH("No ACTION",A8)))</formula>
    </cfRule>
  </conditionalFormatting>
  <conditionalFormatting sqref="A6:A7">
    <cfRule type="containsText" dxfId="3" priority="4" operator="containsText" text="ADD">
      <formula>NOT(ISERROR(SEARCH("ADD",A6)))</formula>
    </cfRule>
  </conditionalFormatting>
  <conditionalFormatting sqref="A6:A7">
    <cfRule type="containsText" dxfId="2" priority="1" operator="containsText" text="DELETE">
      <formula>NOT(ISERROR(SEARCH("DELETE",A6)))</formula>
    </cfRule>
    <cfRule type="containsText" dxfId="1" priority="2" operator="containsText" text="MODIFY">
      <formula>NOT(ISERROR(SEARCH("MODIFY",A6)))</formula>
    </cfRule>
    <cfRule type="containsText" dxfId="0" priority="3" operator="containsText" text="No ACTION">
      <formula>NOT(ISERROR(SEARCH("No ACTION",A6)))</formula>
    </cfRule>
  </conditionalFormatting>
  <dataValidations count="2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66</vt:i4>
      </vt:variant>
    </vt:vector>
  </HeadingPairs>
  <TitlesOfParts>
    <vt:vector size="66" baseType="lpstr">
      <vt:lpstr>General Info</vt:lpstr>
      <vt:lpstr>Contents</vt:lpstr>
      <vt:lpstr>QualityOfServiceProfile-Map</vt:lpstr>
      <vt:lpstr>LogErrors</vt:lpstr>
      <vt:lpstr>PDPContext-Map</vt:lpstr>
      <vt:lpstr>UgCsi-Map</vt:lpstr>
      <vt:lpstr>BearerCapabilitySet-Map</vt:lpstr>
      <vt:lpstr>TCsi-Map</vt:lpstr>
      <vt:lpstr>refValues</vt:lpstr>
      <vt:lpstr>BearerCapabilitySet</vt:lpstr>
      <vt:lpstr>DCsi</vt:lpstr>
      <vt:lpstr>GprsCsi</vt:lpstr>
      <vt:lpstr>LocationServicesProfile</vt:lpstr>
      <vt:lpstr>MCsi</vt:lpstr>
      <vt:lpstr>MgCsi</vt:lpstr>
      <vt:lpstr>MtSmsCsi</vt:lpstr>
      <vt:lpstr>MultipleSubscriberProfiles</vt:lpstr>
      <vt:lpstr>OCsi</vt:lpstr>
      <vt:lpstr>OCsi-Map</vt:lpstr>
      <vt:lpstr>ProhibitedForwardedToNumbers</vt:lpstr>
      <vt:lpstr>QualityOfServiceProfile</vt:lpstr>
      <vt:lpstr>RoamingArea</vt:lpstr>
      <vt:lpstr>RoamingArea-Map</vt:lpstr>
      <vt:lpstr>ShortCodeTranslation</vt:lpstr>
      <vt:lpstr>SmsCsi</vt:lpstr>
      <vt:lpstr>SmsCsi-Map</vt:lpstr>
      <vt:lpstr>SsCsi</vt:lpstr>
      <vt:lpstr>SubscriberRelatedRoutingData</vt:lpstr>
      <vt:lpstr>TCsi</vt:lpstr>
      <vt:lpstr>UCsi</vt:lpstr>
      <vt:lpstr>UCsiExt</vt:lpstr>
      <vt:lpstr>UgCsi</vt:lpstr>
      <vt:lpstr>UgCsiExt</vt:lpstr>
      <vt:lpstr>VoiceMailSystem</vt:lpstr>
      <vt:lpstr>VtCsi</vt:lpstr>
      <vt:lpstr>ExtOICK</vt:lpstr>
      <vt:lpstr>ExtOINCI</vt:lpstr>
      <vt:lpstr>ExtTICK</vt:lpstr>
      <vt:lpstr>ExtTINCI</vt:lpstr>
      <vt:lpstr>INSMS</vt:lpstr>
      <vt:lpstr>OICK</vt:lpstr>
      <vt:lpstr>TICK</vt:lpstr>
      <vt:lpstr>UssdAdvt</vt:lpstr>
      <vt:lpstr>RoamSubscriptionInfo</vt:lpstr>
      <vt:lpstr>RoamPlan</vt:lpstr>
      <vt:lpstr>BSPlan</vt:lpstr>
      <vt:lpstr>SSPlan</vt:lpstr>
      <vt:lpstr>ODBPlan</vt:lpstr>
      <vt:lpstr>CSIPlan</vt:lpstr>
      <vt:lpstr>GMLC</vt:lpstr>
      <vt:lpstr>AddressList</vt:lpstr>
      <vt:lpstr>EMOICKProfile</vt:lpstr>
      <vt:lpstr>NbrRule</vt:lpstr>
      <vt:lpstr>NbrRuleSet</vt:lpstr>
      <vt:lpstr>NbrTranslation</vt:lpstr>
      <vt:lpstr>SmsPriorityList</vt:lpstr>
      <vt:lpstr>SSetProfile</vt:lpstr>
      <vt:lpstr>CSITreatment</vt:lpstr>
      <vt:lpstr>CategoryTreatment</vt:lpstr>
      <vt:lpstr>PSTreatment</vt:lpstr>
      <vt:lpstr>ServicePlan</vt:lpstr>
      <vt:lpstr>PDPContext</vt:lpstr>
      <vt:lpstr>FraudProfile</vt:lpstr>
      <vt:lpstr>FraudObservation</vt:lpstr>
      <vt:lpstr>FTNOData</vt:lpstr>
      <vt:lpstr>FTNOProfile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Khanna, Vikas 1. (EXT - IN/Noida)</cp:lastModifiedBy>
  <dcterms:created xsi:type="dcterms:W3CDTF">2015-06-05T18:17:20Z</dcterms:created>
  <dcterms:modified xsi:type="dcterms:W3CDTF">2018-06-27T06:58:15Z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8eeaa944-de39-4be5-b20b-086070030afd</vt:lpwstr>
  </property>
  <property fmtid="{D5CDD505-2E9C-101B-9397-08002B2CF9AE}" pid="4" name="MSIP_Label_46cc7c65-2b09-40ab-abef-d10548338a3b_Enabled">
    <vt:lpwstr>True</vt:lpwstr>
  </property>
  <property fmtid="{D5CDD505-2E9C-101B-9397-08002B2CF9AE}" pid="5" name="MSIP_Label_46cc7c65-2b09-40ab-abef-d10548338a3b_SiteId">
    <vt:lpwstr>5d471751-9675-428d-917b-70f44f9630b0</vt:lpwstr>
  </property>
  <property fmtid="{D5CDD505-2E9C-101B-9397-08002B2CF9AE}" pid="6" name="MSIP_Label_46cc7c65-2b09-40ab-abef-d10548338a3b_Ref">
    <vt:lpwstr>https://api.informationprotection.azure.com/api/5d471751-9675-428d-917b-70f44f9630b0</vt:lpwstr>
  </property>
  <property fmtid="{D5CDD505-2E9C-101B-9397-08002B2CF9AE}" pid="7" name="MSIP_Label_46cc7c65-2b09-40ab-abef-d10548338a3b_Owner">
    <vt:lpwstr>vikas.1.khanna.ext@nokia.com</vt:lpwstr>
  </property>
  <property fmtid="{D5CDD505-2E9C-101B-9397-08002B2CF9AE}" pid="8" name="MSIP_Label_46cc7c65-2b09-40ab-abef-d10548338a3b_SetDate">
    <vt:lpwstr>2018-05-01T11:28:38.4375636+05:30</vt:lpwstr>
  </property>
  <property fmtid="{D5CDD505-2E9C-101B-9397-08002B2CF9AE}" pid="9" name="MSIP_Label_46cc7c65-2b09-40ab-abef-d10548338a3b_Name">
    <vt:lpwstr>Nokia internal use</vt:lpwstr>
  </property>
  <property fmtid="{D5CDD505-2E9C-101B-9397-08002B2CF9AE}" pid="10" name="MSIP_Label_46cc7c65-2b09-40ab-abef-d10548338a3b_Application">
    <vt:lpwstr>Microsoft Azure Information Protection</vt:lpwstr>
  </property>
  <property fmtid="{D5CDD505-2E9C-101B-9397-08002B2CF9AE}" pid="11" name="MSIP_Label_46cc7c65-2b09-40ab-abef-d10548338a3b_Extended_MSFT_Method">
    <vt:lpwstr>Manual</vt:lpwstr>
  </property>
  <property fmtid="{D5CDD505-2E9C-101B-9397-08002B2CF9AE}" pid="12" name="Sensitivity">
    <vt:lpwstr>Nokia internal use</vt:lpwstr>
  </property>
</Properties>
</file>